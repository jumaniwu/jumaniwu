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ssumptions" sheetId="2" state="visible" r:id="rId4"/>
    <sheet name="5-Year P&amp;L" sheetId="3" state="visible" r:id="rId5"/>
    <sheet name="Hotel Feasibilit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<sst xmlns="http://schemas.openxmlformats.org/spreadsheetml/2006/main" count="341" uniqueCount="309">
  <si>
    <t xml:space="preserve">BRICKX PROTOCOL  —  Financial Model v3.0  |  Updated Strategy</t>
  </si>
  <si>
    <t xml:space="preserve">Two-Phase Model: Phase 1 = BRX ICO + Ecosystem  |  Phase 2 = Hotel Token Sale (Annual Dividend)  |  Rate: Rp 16,200 / USD</t>
  </si>
  <si>
    <t xml:space="preserve">BRX SEED PRICE</t>
  </si>
  <si>
    <t xml:space="preserve">BRX DEX TARGET</t>
  </si>
  <si>
    <t xml:space="preserve">ICO RAISE TARGET</t>
  </si>
  <si>
    <t xml:space="preserve">HOTEL BUDGET IDR</t>
  </si>
  <si>
    <t xml:space="preserve">HOTEL BUDGET USD</t>
  </si>
  <si>
    <t xml:space="preserve">ANNUAL DIVIDEND</t>
  </si>
  <si>
    <t xml:space="preserve">TOKEN MODEL</t>
  </si>
  <si>
    <t xml:space="preserve">YIELD TYPE</t>
  </si>
  <si>
    <t xml:space="preserve">$0.008</t>
  </si>
  <si>
    <t xml:space="preserve">$0.030</t>
  </si>
  <si>
    <t xml:space="preserve">$2,000,000</t>
  </si>
  <si>
    <t xml:space="preserve">Rp 200-300B</t>
  </si>
  <si>
    <t xml:space="preserve">$12M - $18.5M</t>
  </si>
  <si>
    <t xml:space="preserve">June Each Year</t>
  </si>
  <si>
    <t xml:space="preserve">BRICK @ $10</t>
  </si>
  <si>
    <t xml:space="preserve">Annual / Tutup Buku Des</t>
  </si>
  <si>
    <t xml:space="preserve">PHASE 1 — BRX ICO: ECOSYSTEM FUNDING</t>
  </si>
  <si>
    <t xml:space="preserve">Round</t>
  </si>
  <si>
    <t xml:space="preserve">Price/BRX</t>
  </si>
  <si>
    <t xml:space="preserve">Tokens</t>
  </si>
  <si>
    <t xml:space="preserve">Raise Target</t>
  </si>
  <si>
    <t xml:space="preserve">Raised</t>
  </si>
  <si>
    <t xml:space="preserve">% Filled</t>
  </si>
  <si>
    <t xml:space="preserve">Status</t>
  </si>
  <si>
    <t xml:space="preserve">Lock/Vest</t>
  </si>
  <si>
    <t xml:space="preserve">Seed Round</t>
  </si>
  <si>
    <t xml:space="preserve">ACTIVE</t>
  </si>
  <si>
    <t xml:space="preserve">12mo lock + 24mo vest</t>
  </si>
  <si>
    <t xml:space="preserve">ICO Round 1</t>
  </si>
  <si>
    <t xml:space="preserve">UPCOMING</t>
  </si>
  <si>
    <t xml:space="preserve">3mo lock + 12mo vest</t>
  </si>
  <si>
    <t xml:space="preserve">ICO Round 2</t>
  </si>
  <si>
    <t xml:space="preserve">3mo lock + 9mo vest</t>
  </si>
  <si>
    <t xml:space="preserve">DEX Launch</t>
  </si>
  <si>
    <t xml:space="preserve">No vesting</t>
  </si>
  <si>
    <t xml:space="preserve">TOTAL</t>
  </si>
  <si>
    <t xml:space="preserve">PHASE 2 — HOTEL PROJECT BATAM: TOKEN ECONOMICS (per hotel)</t>
  </si>
  <si>
    <t xml:space="preserve">Parameter</t>
  </si>
  <si>
    <t xml:space="preserve">Conservative</t>
  </si>
  <si>
    <t xml:space="preserve">Base Case</t>
  </si>
  <si>
    <t xml:space="preserve">Optimistic</t>
  </si>
  <si>
    <t xml:space="preserve">Notes</t>
  </si>
  <si>
    <t xml:space="preserve">Hotel Acquisition Cost (Rp Miliar)</t>
  </si>
  <si>
    <t xml:space="preserve">Beli hotel existing sudah beroperasi</t>
  </si>
  <si>
    <t xml:space="preserve">Exchange Rate (Rp/USD)</t>
  </si>
  <si>
    <t xml:space="preserve">April 2026 rate — update jika berubah</t>
  </si>
  <si>
    <t xml:space="preserve">Hotel Cost USD ($)</t>
  </si>
  <si>
    <t xml:space="preserve">Konversi otomatis</t>
  </si>
  <si>
    <t xml:space="preserve">Number of Rooms</t>
  </si>
  <si>
    <t xml:space="preserve">Tergantung hotel yang dibeli</t>
  </si>
  <si>
    <t xml:space="preserve">Average Daily Rate - ADR ($)</t>
  </si>
  <si>
    <t xml:space="preserve">Rate kamar per malam USD</t>
  </si>
  <si>
    <t xml:space="preserve">Target Occupancy Rate</t>
  </si>
  <si>
    <t xml:space="preserve">Benchmark hotel 3-4 star Batam</t>
  </si>
  <si>
    <t xml:space="preserve">RevPAR ($/night)</t>
  </si>
  <si>
    <t xml:space="preserve">ADR × Occupancy</t>
  </si>
  <si>
    <t xml:space="preserve">Monthly Gross Revenue ($)</t>
  </si>
  <si>
    <t xml:space="preserve">RevPAR × Rooms × 30</t>
  </si>
  <si>
    <t xml:space="preserve">Annual Gross Revenue ($)</t>
  </si>
  <si>
    <t xml:space="preserve">NOI Margin (Net Operating Income)</t>
  </si>
  <si>
    <t xml:space="preserve">Setelah biaya operasional, staf, utility</t>
  </si>
  <si>
    <t xml:space="preserve">Annual NOI ($)</t>
  </si>
  <si>
    <t xml:space="preserve">Holders Revenue Share</t>
  </si>
  <si>
    <t xml:space="preserve">70% NOI ke pemegang token (fixed)</t>
  </si>
  <si>
    <t xml:space="preserve">Annual Dividend Pool ($)</t>
  </si>
  <si>
    <t xml:space="preserve">Dibayar Juni tahun berikutnya</t>
  </si>
  <si>
    <t xml:space="preserve">BRICK Token Price ($)</t>
  </si>
  <si>
    <t xml:space="preserve">Fixed permanent — tidak pernah berubah</t>
  </si>
  <si>
    <t xml:space="preserve">Total BRICK Tokens</t>
  </si>
  <si>
    <t xml:space="preserve">Hotel cost ÷ token price</t>
  </si>
  <si>
    <t xml:space="preserve">Annual Dividend Per Token ($)</t>
  </si>
  <si>
    <t xml:space="preserve">Dibayar June next year</t>
  </si>
  <si>
    <t xml:space="preserve">Annual Yield / APY (%)</t>
  </si>
  <si>
    <t xml:space="preserve">Dividend per token ÷ token price</t>
  </si>
  <si>
    <t xml:space="preserve">Annual IDR Dividend per token</t>
  </si>
  <si>
    <t xml:space="preserve">Konversi ke Rupiah</t>
  </si>
  <si>
    <t xml:space="preserve">ROI on Hotel Cost (%)</t>
  </si>
  <si>
    <t xml:space="preserve">Total yield / hotel cost</t>
  </si>
  <si>
    <t xml:space="preserve">DIVIDEND CALENDAR — Annual Cycle (Base Case)</t>
  </si>
  <si>
    <t xml:space="preserve">Event</t>
  </si>
  <si>
    <t xml:space="preserve">Month</t>
  </si>
  <si>
    <t xml:space="preserve">Description</t>
  </si>
  <si>
    <t xml:space="preserve">Amount (Base)</t>
  </si>
  <si>
    <t xml:space="preserve">Hotel Acquisition</t>
  </si>
  <si>
    <t xml:space="preserve">Month 1-3</t>
  </si>
  <si>
    <t xml:space="preserve">ICO complete → acquire hotel → begin operations</t>
  </si>
  <si>
    <t xml:space="preserve">Depends on ICO raise</t>
  </si>
  <si>
    <t xml:space="preserve">Operations Year 1</t>
  </si>
  <si>
    <t xml:space="preserve">Month 1-12</t>
  </si>
  <si>
    <t xml:space="preserve">Hotel beroperasi, revenue masuk, biaya keluar</t>
  </si>
  <si>
    <t xml:space="preserve">Revenue berjalan</t>
  </si>
  <si>
    <t xml:space="preserve">Full year operation</t>
  </si>
  <si>
    <t xml:space="preserve">Tutup Buku</t>
  </si>
  <si>
    <t xml:space="preserve">Desember</t>
  </si>
  <si>
    <t xml:space="preserve">Annual financial close — audit laporan keuangan</t>
  </si>
  <si>
    <t xml:space="preserve">Independent auditor</t>
  </si>
  <si>
    <t xml:space="preserve">Dividend Announcement</t>
  </si>
  <si>
    <t xml:space="preserve">Januari</t>
  </si>
  <si>
    <t xml:space="preserve">Announce dividend per token untuk tahun lalu</t>
  </si>
  <si>
    <t xml:space="preserve">~$0.61/BRICK</t>
  </si>
  <si>
    <t xml:space="preserve">Base case</t>
  </si>
  <si>
    <t xml:space="preserve">Dividend Payment</t>
  </si>
  <si>
    <t xml:space="preserve">Juni</t>
  </si>
  <si>
    <t xml:space="preserve">Transfer USDC ke semua wallet pemegang BRICK token</t>
  </si>
  <si>
    <t xml:space="preserve">70% NOI → holders</t>
  </si>
  <si>
    <t xml:space="preserve">Year 2 Repeat</t>
  </si>
  <si>
    <t xml:space="preserve">Des → Juni+1</t>
  </si>
  <si>
    <t xml:space="preserve">Siklus berulang setiap tahun selama hotel beroperasi</t>
  </si>
  <si>
    <t xml:space="preserve">Perpetual</t>
  </si>
  <si>
    <t xml:space="preserve">APY SENSITIVITY — Occupancy × ADR (Base Case: 100 rooms, NOI 55%, 70% to holders)</t>
  </si>
  <si>
    <t xml:space="preserve">Occ \ ADR ($)</t>
  </si>
  <si>
    <t xml:space="preserve">BRICKX PROTOCOL — Assumptions v3 (Two-Phase Strategy)</t>
  </si>
  <si>
    <t xml:space="preserve">Blue = input  |  Green = formula  |  All IDR figures in Miliar Rupiah (×1,000,000,000)</t>
  </si>
  <si>
    <t xml:space="preserve">MACRO ASSUMPTIONS</t>
  </si>
  <si>
    <t xml:space="preserve">Exchange Rate (Rp per USD)</t>
  </si>
  <si>
    <t xml:space="preserve">April 2026 — update sesuai kurs berlaku</t>
  </si>
  <si>
    <t xml:space="preserve">Inflation Indonesia (YoY)</t>
  </si>
  <si>
    <t xml:space="preserve">BI target 2.5-4.5%</t>
  </si>
  <si>
    <t xml:space="preserve">Polygon Gas (USD per tx)</t>
  </si>
  <si>
    <t xml:space="preserve">Very low — recommend USDT/USDC on Polygon</t>
  </si>
  <si>
    <t xml:space="preserve">PHASE 1: BRX ICO — ECOSYSTEM FUNDING</t>
  </si>
  <si>
    <t xml:space="preserve">BRX Total Supply</t>
  </si>
  <si>
    <t xml:space="preserve">Fixed forever — no additional minting</t>
  </si>
  <si>
    <t xml:space="preserve">Seed Price (USD/BRX)</t>
  </si>
  <si>
    <t xml:space="preserve">Lowest ever — seed investors only</t>
  </si>
  <si>
    <t xml:space="preserve">ICO Round 1 Price (USD/BRX)</t>
  </si>
  <si>
    <t xml:space="preserve">+87.5% vs seed</t>
  </si>
  <si>
    <t xml:space="preserve">ICO Round 2 Price (USD/BRX)</t>
  </si>
  <si>
    <t xml:space="preserve">+175% vs seed</t>
  </si>
  <si>
    <t xml:space="preserve">DEX Target Price (USD/BRX)</t>
  </si>
  <si>
    <t xml:space="preserve">+275% vs seed — FDV $30M</t>
  </si>
  <si>
    <t xml:space="preserve">ICO Raise Target (USD)</t>
  </si>
  <si>
    <t xml:space="preserve">Total dari semua rounds = Rp 32.4 Miliar</t>
  </si>
  <si>
    <t xml:space="preserve">Seed Hard Cap (USD)</t>
  </si>
  <si>
    <t xml:space="preserve">Fase seed maksimum</t>
  </si>
  <si>
    <t xml:space="preserve">Seed Lock Period (months)</t>
  </si>
  <si>
    <t xml:space="preserve">Sebelum ada yang unlock</t>
  </si>
  <si>
    <t xml:space="preserve">Seed Vesting Linear (months)</t>
  </si>
  <si>
    <t xml:space="preserve">Linear release setelah lock</t>
  </si>
  <si>
    <t xml:space="preserve">Referral Bonus (BRX)</t>
  </si>
  <si>
    <t xml:space="preserve">Per referral yang berhasil beli</t>
  </si>
  <si>
    <t xml:space="preserve">Platform Fee Rate</t>
  </si>
  <si>
    <t xml:space="preserve">0.5% dari tiap transaksi marketplace</t>
  </si>
  <si>
    <t xml:space="preserve">PHASE 2: HOTEL ACQUISITION — STRATEGY</t>
  </si>
  <si>
    <t xml:space="preserve">Target: Beli Hotel Existing</t>
  </si>
  <si>
    <t xml:space="preserve">Ya</t>
  </si>
  <si>
    <t xml:space="preserve">Hotel sudah beroperasi = revenue langsung</t>
  </si>
  <si>
    <t xml:space="preserve">Budget Akuisisi Minimum (IDR)</t>
  </si>
  <si>
    <t xml:space="preserve">Rp 200 Miliar</t>
  </si>
  <si>
    <t xml:space="preserve">Budget Akuisisi Maksimum (IDR)</t>
  </si>
  <si>
    <t xml:space="preserve">Rp 300 Miliar</t>
  </si>
  <si>
    <t xml:space="preserve">Budget Midpoint USD</t>
  </si>
  <si>
    <t xml:space="preserve">Midpoint konversi ke USD</t>
  </si>
  <si>
    <t xml:space="preserve">Location</t>
  </si>
  <si>
    <t xml:space="preserve">Batam Island</t>
  </si>
  <si>
    <t xml:space="preserve">Nagoya Business District preferred</t>
  </si>
  <si>
    <t xml:space="preserve">Hotel Category Target</t>
  </si>
  <si>
    <t xml:space="preserve">3-4 Star</t>
  </si>
  <si>
    <t xml:space="preserve">Bintang 3 existing → renovasi ke bintang 4</t>
  </si>
  <si>
    <t xml:space="preserve">Target Rooms</t>
  </si>
  <si>
    <t xml:space="preserve">Minimum 80 kamar untuk economies of scale</t>
  </si>
  <si>
    <t xml:space="preserve">Estimated Renovation Cost (IDR)</t>
  </si>
  <si>
    <t xml:space="preserve">Rp 30 Miliar untuk upgrade ke 4-star</t>
  </si>
  <si>
    <t xml:space="preserve">Total All-in Cost (IDR) — Midpoint</t>
  </si>
  <si>
    <t xml:space="preserve">Akuisisi + Renovasi</t>
  </si>
  <si>
    <t xml:space="preserve">PHASE 2: HOTEL OPERATIONS — ECONOMICS</t>
  </si>
  <si>
    <t xml:space="preserve">Average Daily Rate — ADR ($)</t>
  </si>
  <si>
    <t xml:space="preserve">Target rate kamar per malam</t>
  </si>
  <si>
    <t xml:space="preserve">Target Occupancy Year 1</t>
  </si>
  <si>
    <t xml:space="preserve">Konservatif — hotel baru dikelola</t>
  </si>
  <si>
    <t xml:space="preserve">Target Occupancy Year 2+</t>
  </si>
  <si>
    <t xml:space="preserve">Stabil setelah branding established</t>
  </si>
  <si>
    <t xml:space="preserve">RevPAR (ADR × Occupancy)</t>
  </si>
  <si>
    <t xml:space="preserve">Revenue per available room</t>
  </si>
  <si>
    <t xml:space="preserve">Monthly Revenue (100 rooms)</t>
  </si>
  <si>
    <t xml:space="preserve">RevPAR × 100 rooms × 30 hari</t>
  </si>
  <si>
    <t xml:space="preserve">Annual Revenue</t>
  </si>
  <si>
    <t xml:space="preserve">NOI Margin (after opex)</t>
  </si>
  <si>
    <t xml:space="preserve">Staf, listrik, F&amp;B, maintenance, managemen</t>
  </si>
  <si>
    <t xml:space="preserve">Annual NOI</t>
  </si>
  <si>
    <t xml:space="preserve">Net Operating Income</t>
  </si>
  <si>
    <t xml:space="preserve">Holders Revenue Share (70%)</t>
  </si>
  <si>
    <t xml:space="preserve">Fixed — 70% NOI ke pemegang BRICK token</t>
  </si>
  <si>
    <t xml:space="preserve">Total pool sebelum dibagi per token</t>
  </si>
  <si>
    <t xml:space="preserve">PHASE 2: BRICK TOKEN STRUCTURE</t>
  </si>
  <si>
    <t xml:space="preserve">BRICK Token Price ($) — Fixed</t>
  </si>
  <si>
    <t xml:space="preserve">Permanent. Tidak pernah naik/turun</t>
  </si>
  <si>
    <t xml:space="preserve">Total BRICK Tokens per Hotel</t>
  </si>
  <si>
    <t xml:space="preserve">Hotel cost ÷ $10 per token</t>
  </si>
  <si>
    <t xml:space="preserve">Dividend pool ÷ total tokens</t>
  </si>
  <si>
    <t xml:space="preserve">Annual APY (%)</t>
  </si>
  <si>
    <t xml:space="preserve">APY = dividend per token ÷ token price</t>
  </si>
  <si>
    <t xml:space="preserve">Annual Dividend Per Token (IDR)</t>
  </si>
  <si>
    <t xml:space="preserve">DIVIDEND CALENDAR — ANNUAL CYCLE</t>
  </si>
  <si>
    <t xml:space="preserve">Fiscal Year End</t>
  </si>
  <si>
    <t xml:space="preserve">31 Desember</t>
  </si>
  <si>
    <t xml:space="preserve">Tutup buku tahunan</t>
  </si>
  <si>
    <t xml:space="preserve">Audit Period</t>
  </si>
  <si>
    <t xml:space="preserve">Jan - Mar</t>
  </si>
  <si>
    <t xml:space="preserve">Audit laporan keuangan oleh auditor independen</t>
  </si>
  <si>
    <t xml:space="preserve">April</t>
  </si>
  <si>
    <t xml:space="preserve">Umumkan jumlah dividen per token</t>
  </si>
  <si>
    <t xml:space="preserve">Dividend Payment Date</t>
  </si>
  <si>
    <t xml:space="preserve">Transfer ke semua wallet pemegang BRICK token</t>
  </si>
  <si>
    <t xml:space="preserve">Payment Method</t>
  </si>
  <si>
    <t xml:space="preserve">USDC (Polygon)</t>
  </si>
  <si>
    <t xml:space="preserve">Auto-transfer via smart contract</t>
  </si>
  <si>
    <t xml:space="preserve">Minimum Holding for Dividend</t>
  </si>
  <si>
    <t xml:space="preserve">1 BRICK token</t>
  </si>
  <si>
    <t xml:space="preserve">Tidak ada minimum — pro-rata semua holder</t>
  </si>
  <si>
    <t xml:space="preserve">Snapshot Date</t>
  </si>
  <si>
    <t xml:space="preserve">Snapshot wallet holder saat tutup buku</t>
  </si>
  <si>
    <t xml:space="preserve">BRICKX PROTOCOL — 5-Year P&amp;L  |  Two-Phase Strategy  |  Base Case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</si>
  <si>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</si>
  <si>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</si>
  <si>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</si>
  <si>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</si>
  <si>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</si>
  <si>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CAGR</t>
  </si>
  <si>
    <t xml:space="preserve">── PHASE 1: BRX ICO ──</t>
  </si>
  <si>
    <t xml:space="preserve">BRX ICO Proceeds ($)</t>
  </si>
  <si>
    <t xml:space="preserve">  Ecosystem Dev Costs ($)</t>
  </si>
  <si>
    <t xml:space="preserve">  Marketing &amp; Community ($)</t>
  </si>
  <si>
    <t xml:space="preserve">  Legal &amp; Compliance ($)</t>
  </si>
  <si>
    <t xml:space="preserve">  Audit &amp; KYC ($)</t>
  </si>
  <si>
    <t xml:space="preserve">Phase 1 Net ($)</t>
  </si>
  <si>
    <t xml:space="preserve">── PHASE 2: HOTEL OPERATIONS ──</t>
  </si>
  <si>
    <t xml:space="preserve">Hotel Acquisition ($)</t>
  </si>
  <si>
    <t xml:space="preserve">Renovation Cost ($)</t>
  </si>
  <si>
    <t xml:space="preserve">Annual Revenue Hotel ($)</t>
  </si>
  <si>
    <t xml:space="preserve">  Operating Costs (45%)</t>
  </si>
  <si>
    <t xml:space="preserve">  NOI (55%)</t>
  </si>
  <si>
    <t xml:space="preserve">  Dividend Pool to Holders (70%)</t>
  </si>
  <si>
    <t xml:space="preserve">  Protocol Share (30%)</t>
  </si>
  <si>
    <t xml:space="preserve">── PLATFORM REVENUE ──</t>
  </si>
  <si>
    <t xml:space="preserve">Marketplace Fee Revenue ($)</t>
  </si>
  <si>
    <t xml:space="preserve">Platform Revenue Share (30%)</t>
  </si>
  <si>
    <t xml:space="preserve">Staking Fees ($)</t>
  </si>
  <si>
    <t xml:space="preserve">TOTAL PLATFORM REVENUE ($)</t>
  </si>
  <si>
    <t xml:space="preserve">── SUMMARY ──</t>
  </si>
  <si>
    <t xml:space="preserve">Holders Annual Dividend ($)</t>
  </si>
  <si>
    <t xml:space="preserve">  → Paid June (year +1)</t>
  </si>
  <si>
    <t xml:space="preserve">-</t>
  </si>
  <si>
    <t xml:space="preserve">Jun 2028</t>
  </si>
  <si>
    <t xml:space="preserve">Jun 2029</t>
  </si>
  <si>
    <t xml:space="preserve">Jun 2030</t>
  </si>
  <si>
    <t xml:space="preserve">Jun 2031</t>
  </si>
  <si>
    <t xml:space="preserve">Platform Net Revenue ($)</t>
  </si>
  <si>
    <t xml:space="preserve">HOTEL PROJECT BATAM — Feasibility Study  |  Beli Existing Hotel</t>
  </si>
  <si>
    <t xml:space="preserve">Item</t>
  </si>
  <si>
    <t xml:space="preserve">Unit</t>
  </si>
  <si>
    <t xml:space="preserve">── AKUISISI ──</t>
  </si>
  <si>
    <t xml:space="preserve">Harga Beli Hotel (IDR)</t>
  </si>
  <si>
    <t xml:space="preserve">IDR</t>
  </si>
  <si>
    <t xml:space="preserve">Rp 200-300 Miliar</t>
  </si>
  <si>
    <t xml:space="preserve">Biaya Renovasi &amp; Upgrade (IDR)</t>
  </si>
  <si>
    <t xml:space="preserve">Upgrade ke 4-star</t>
  </si>
  <si>
    <t xml:space="preserve">Legal, SPA, Due Diligence (IDR)</t>
  </si>
  <si>
    <t xml:space="preserve">~1-2% dari harga</t>
  </si>
  <si>
    <t xml:space="preserve">TOTAL INVESTMENT (IDR)</t>
  </si>
  <si>
    <t xml:space="preserve">All-in cost</t>
  </si>
  <si>
    <t xml:space="preserve">TOTAL INVESTMENT (USD)</t>
  </si>
  <si>
    <t xml:space="preserve">USD</t>
  </si>
  <si>
    <t xml:space="preserve">@ Rp 16,200</t>
  </si>
  <si>
    <t xml:space="preserve">── OPERASIONAL (ANNUAL) ──</t>
  </si>
  <si>
    <t xml:space="preserve">Jumlah Kamar</t>
  </si>
  <si>
    <t xml:space="preserve">Kamar</t>
  </si>
  <si>
    <t xml:space="preserve">ADR (Average Daily Rate)</t>
  </si>
  <si>
    <t xml:space="preserve">USD/malam</t>
  </si>
  <si>
    <t xml:space="preserve">Harga rata-rata kamar</t>
  </si>
  <si>
    <t xml:space="preserve">Occupancy Rate</t>
  </si>
  <si>
    <t xml:space="preserve">%</t>
  </si>
  <si>
    <t xml:space="preserve">Target occupancy</t>
  </si>
  <si>
    <t xml:space="preserve">RevPAR</t>
  </si>
  <si>
    <t xml:space="preserve">Annual Revenue (USD)</t>
  </si>
  <si>
    <t xml:space="preserve">RevPAR × Rooms × 365</t>
  </si>
  <si>
    <t xml:space="preserve">Annual Revenue (IDR)</t>
  </si>
  <si>
    <t xml:space="preserve">NOI Margin</t>
  </si>
  <si>
    <t xml:space="preserve">Setelah semua biaya operasional</t>
  </si>
  <si>
    <t xml:space="preserve">Annual NOI (USD)</t>
  </si>
  <si>
    <t xml:space="preserve">Annual NOI (IDR)</t>
  </si>
  <si>
    <t xml:space="preserve">── TOKEN &amp; DIVIDEND ──</t>
  </si>
  <si>
    <t xml:space="preserve">70% NOI ke Holder (Annual Div Pool)</t>
  </si>
  <si>
    <t xml:space="preserve">30% ke Protocol</t>
  </si>
  <si>
    <t xml:space="preserve">Platform operasional</t>
  </si>
  <si>
    <t xml:space="preserve">BRICK Token Price (Fixed $10)</t>
  </si>
  <si>
    <t xml:space="preserve">Permanent — tidak pernah berubah</t>
  </si>
  <si>
    <t xml:space="preserve">tokens</t>
  </si>
  <si>
    <t xml:space="preserve">Hotel cost USD ÷ $10</t>
  </si>
  <si>
    <t xml:space="preserve">Annual Dividend per Token (USD)</t>
  </si>
  <si>
    <t xml:space="preserve">USD/token</t>
  </si>
  <si>
    <t xml:space="preserve">Dibayar Juni</t>
  </si>
  <si>
    <t xml:space="preserve">Annual Dividend per Token (IDR)</t>
  </si>
  <si>
    <t xml:space="preserve">IDR/token</t>
  </si>
  <si>
    <t xml:space="preserve">APY (%)</t>
  </si>
  <si>
    <t xml:space="preserve">Dividend / token price</t>
  </si>
  <si>
    <t xml:space="preserve">── RETURN ANALYSIS ──</t>
  </si>
  <si>
    <t xml:space="preserve">5-Year Cumulative Dividend (per token)</t>
  </si>
  <si>
    <t xml:space="preserve">5 tahun dividen kumulatif</t>
  </si>
  <si>
    <t xml:space="preserve">Payback Period (years)</t>
  </si>
  <si>
    <t xml:space="preserve">years</t>
  </si>
  <si>
    <t xml:space="preserve">Total token value / annual div pool</t>
  </si>
  <si>
    <t xml:space="preserve">Cap Rate (on purchase price)</t>
  </si>
  <si>
    <t xml:space="preserve">NOI / purchase price</t>
  </si>
  <si>
    <t xml:space="preserve">Gross Revenue Multiplier</t>
  </si>
  <si>
    <t xml:space="preserve">x</t>
  </si>
  <si>
    <t xml:space="preserve">Purchase price / annual revenue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</si>
</sst>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.000"/>
    <numFmt numFmtId="166" formatCode="#,##0"/>
    <numFmt numFmtId="167" formatCode="\$#,##0"/>
    <numFmt numFmtId="168" formatCode="0.0%"/>
    <numFmt numFmtId="169" formatCode="#,##0.00,,&quot;B IDR&quot;"/>
    <numFmt numFmtId="170" formatCode="\$#,##0.00"/>
    <numFmt numFmtId="171" formatCode="#,##0&quot; IDR&quot;"/>
    <numFmt numFmtId="172" formatCode="0&quot; bulan&quot;"/>
    <numFmt numFmtId="173" formatCode="0.00%"/>
    <numFmt numFmtId="174" formatCode="@"/>
    <numFmt numFmtId="175" formatCode="0.0&quot; yr&quot;"/>
    <numFmt numFmtId="176" formatCode="0.0\x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Calibri"/>
      <family val="0"/>
      <charset val="1"/>
    </font>
    <font>
      <i val="true"/>
      <sz val="10"/>
      <color rgb="FF94A3B8"/>
      <name val="Calibri"/>
      <family val="0"/>
      <charset val="1"/>
    </font>
    <font>
      <b val="true"/>
      <sz val="8"/>
      <color rgb="FF94A3B8"/>
      <name val="Calibri"/>
      <family val="0"/>
      <charset val="1"/>
    </font>
    <font>
      <b val="true"/>
      <sz val="13"/>
      <color rgb="FFF59E0B"/>
      <name val="Calibri"/>
      <family val="0"/>
      <charset val="1"/>
    </font>
    <font>
      <b val="true"/>
      <sz val="13"/>
      <color rgb="FF10B981"/>
      <name val="Calibri"/>
      <family val="0"/>
      <charset val="1"/>
    </font>
    <font>
      <b val="true"/>
      <sz val="13"/>
      <color rgb="FF3B82F6"/>
      <name val="Calibri"/>
      <family val="0"/>
      <charset val="1"/>
    </font>
    <font>
      <b val="true"/>
      <sz val="13"/>
      <color rgb="FF14B8A6"/>
      <name val="Calibri"/>
      <family val="0"/>
      <charset val="1"/>
    </font>
    <font>
      <b val="true"/>
      <sz val="12"/>
      <color rgb="FFF59E0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475569"/>
      <name val="Calibri"/>
      <family val="0"/>
      <charset val="1"/>
    </font>
    <font>
      <b val="true"/>
      <sz val="9"/>
      <color rgb="FF94A3B8"/>
      <name val="Calibri"/>
      <family val="0"/>
      <charset val="1"/>
    </font>
    <font>
      <b val="true"/>
      <sz val="10"/>
      <color rgb="FFF59E0B"/>
      <name val="Calibri"/>
      <family val="0"/>
      <charset val="1"/>
    </font>
    <font>
      <sz val="10"/>
      <color rgb="FFEF4444"/>
      <name val="Calibri"/>
      <family val="0"/>
      <charset val="1"/>
    </font>
    <font>
      <sz val="10"/>
      <color rgb="FFF59E0B"/>
      <name val="Calibri"/>
      <family val="0"/>
      <charset val="1"/>
    </font>
    <font>
      <sz val="10"/>
      <color rgb="FF10B981"/>
      <name val="Calibri"/>
      <family val="0"/>
      <charset val="1"/>
    </font>
    <font>
      <b val="true"/>
      <sz val="10"/>
      <color rgb="FF10B981"/>
      <name val="Calibri"/>
      <family val="0"/>
      <charset val="1"/>
    </font>
    <font>
      <b val="true"/>
      <sz val="15"/>
      <color rgb="FFFFFFFF"/>
      <name val="Calibri"/>
      <family val="0"/>
      <charset val="1"/>
    </font>
    <font>
      <sz val="11"/>
      <color rgb="FFE2E8F0"/>
      <name val="Calibri"/>
      <family val="0"/>
      <charset val="1"/>
    </font>
    <font>
      <sz val="11"/>
      <color rgb="FF3B82F6"/>
      <name val="Calibri"/>
      <family val="0"/>
      <charset val="1"/>
    </font>
    <font>
      <sz val="11"/>
      <color rgb="FF10B98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0B98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2"/>
      <color rgb="FFF59E0B"/>
      <name val="Calibri"/>
      <family val="0"/>
      <charset val="1"/>
    </font>
    <font>
      <b val="true"/>
      <sz val="11"/>
      <color rgb="FF14B8A6"/>
      <name val="Calibri"/>
      <family val="0"/>
      <charset val="1"/>
    </font>
    <font>
      <sz val="11"/>
      <color rgb="FFEF4444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1"/>
      <color rgb="FFF59E0B"/>
      <name val="Calibri"/>
      <family val="0"/>
      <charset val="1"/>
    </font>
    <font>
      <sz val="11"/>
      <color rgb="FF14B8A6"/>
      <name val="Calibri"/>
      <family val="0"/>
      <charset val="1"/>
    </font>
    <font>
      <sz val="11"/>
      <color rgb="FF94A3B8"/>
      <name val="Calibri"/>
      <family val="0"/>
      <charset val="1"/>
    </font>
    <font>
      <sz val="10"/>
      <color rgb="FF94A3B8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20509"/>
        <bgColor rgb="FF000000"/>
      </patternFill>
    </fill>
    <fill>
      <patternFill patternType="solid">
        <fgColor rgb="FF0F2040"/>
        <bgColor rgb="FF0A1628"/>
      </patternFill>
    </fill>
    <fill>
      <patternFill patternType="solid">
        <fgColor rgb="FF0A1628"/>
        <bgColor rgb="FF060D18"/>
      </patternFill>
    </fill>
    <fill>
      <patternFill patternType="solid">
        <fgColor rgb="FF060D18"/>
        <bgColor rgb="FF020509"/>
      </patternFill>
    </fill>
    <fill>
      <patternFill patternType="solid">
        <fgColor rgb="FF1A0505"/>
        <bgColor rgb="FF020509"/>
      </patternFill>
    </fill>
    <fill>
      <patternFill patternType="solid">
        <fgColor rgb="FF1E1A05"/>
        <bgColor rgb="FF0A1628"/>
      </patternFill>
    </fill>
    <fill>
      <patternFill patternType="solid">
        <fgColor rgb="FF0A2818"/>
        <bgColor rgb="FF0A1628"/>
      </patternFill>
    </fill>
  </fills>
  <borders count="6">
    <border diagonalUp="false" diagonalDown="false">
      <left/>
      <right/>
      <top/>
      <bottom/>
      <diagonal/>
    </border>
    <border diagonalUp="false" diagonalDown="false">
      <left/>
      <right/>
      <top style="thin">
        <color rgb="FFF59E0B"/>
      </top>
      <bottom/>
      <diagonal/>
    </border>
    <border diagonalUp="false" diagonalDown="false">
      <left/>
      <right/>
      <top style="thin">
        <color rgb="FF10B981"/>
      </top>
      <bottom/>
      <diagonal/>
    </border>
    <border diagonalUp="false" diagonalDown="false">
      <left/>
      <right/>
      <top style="thin">
        <color rgb="FF3B82F6"/>
      </top>
      <bottom/>
      <diagonal/>
    </border>
    <border diagonalUp="false" diagonalDown="false">
      <left/>
      <right/>
      <top style="thin">
        <color rgb="FF14B8A6"/>
      </top>
      <bottom/>
      <diagonal/>
    </border>
    <border diagonalUp="false" diagonalDown="false">
      <left/>
      <right/>
      <top/>
      <bottom style="thin">
        <color rgb="FF47556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3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2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32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3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3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2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3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3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60D18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8F0"/>
      <rgbColor rgb="FF1A0505"/>
      <rgbColor rgb="FFFF8080"/>
      <rgbColor rgb="FF0066CC"/>
      <rgbColor rgb="FFCCCCFF"/>
      <rgbColor rgb="FF020509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B82F6"/>
      <rgbColor rgb="FF14B8A6"/>
      <rgbColor rgb="FF99CC00"/>
      <rgbColor rgb="FFFFCC00"/>
      <rgbColor rgb="FFF59E0B"/>
      <rgbColor rgb="FFEF4444"/>
      <rgbColor rgb="FF475569"/>
      <rgbColor rgb="FF94A3B8"/>
      <rgbColor rgb="FF0F2040"/>
      <rgbColor rgb="FF10B981"/>
      <rgbColor rgb="FF0A2818"/>
      <rgbColor rgb="FF1E1A05"/>
      <rgbColor rgb="FF993300"/>
      <rgbColor rgb="FF993366"/>
      <rgbColor rgb="FF333399"/>
      <rgbColor rgb="FF0A16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9" min="2" style="1" width="17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</row>
    <row r="2" customFormat="false" ht="18" hidden="false" customHeight="tru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3"/>
      <c r="K2" s="3"/>
    </row>
    <row r="3" customFormat="false" ht="9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3.5" hidden="false" customHeight="true" outlineLevel="0" collapsed="false">
      <c r="A4" s="3"/>
      <c r="B4" s="5" t="s">
        <v>2</v>
      </c>
      <c r="C4" s="6" t="s">
        <v>3</v>
      </c>
      <c r="D4" s="7" t="s">
        <v>4</v>
      </c>
      <c r="E4" s="8" t="s">
        <v>5</v>
      </c>
      <c r="F4" s="8" t="s">
        <v>6</v>
      </c>
      <c r="G4" s="5" t="s">
        <v>7</v>
      </c>
      <c r="H4" s="7" t="s">
        <v>8</v>
      </c>
      <c r="I4" s="6" t="s">
        <v>9</v>
      </c>
      <c r="J4" s="3"/>
      <c r="K4" s="3"/>
    </row>
    <row r="5" customFormat="false" ht="30" hidden="false" customHeight="true" outlineLevel="0" collapsed="false">
      <c r="A5" s="3"/>
      <c r="B5" s="9" t="s">
        <v>10</v>
      </c>
      <c r="C5" s="10" t="s">
        <v>11</v>
      </c>
      <c r="D5" s="11" t="s">
        <v>12</v>
      </c>
      <c r="E5" s="12" t="s">
        <v>13</v>
      </c>
      <c r="F5" s="12" t="s">
        <v>14</v>
      </c>
      <c r="G5" s="9" t="s">
        <v>15</v>
      </c>
      <c r="H5" s="11" t="s">
        <v>16</v>
      </c>
      <c r="I5" s="10" t="s">
        <v>17</v>
      </c>
      <c r="J5" s="3"/>
      <c r="K5" s="3"/>
    </row>
    <row r="6" customFormat="false" ht="21.75" hidden="false" customHeight="true" outlineLevel="0" collapsed="false">
      <c r="A6" s="3"/>
      <c r="B6" s="13"/>
      <c r="C6" s="13"/>
      <c r="D6" s="13"/>
      <c r="E6" s="13"/>
      <c r="F6" s="13"/>
      <c r="G6" s="13"/>
      <c r="H6" s="13"/>
      <c r="I6" s="13"/>
      <c r="J6" s="3"/>
      <c r="K6" s="3"/>
    </row>
    <row r="7" customFormat="false" ht="12" hidden="false" customHeight="true" outlineLevel="0" collapsed="false">
      <c r="A7" s="3"/>
      <c r="B7" s="13"/>
      <c r="C7" s="13"/>
      <c r="D7" s="13"/>
      <c r="E7" s="13"/>
      <c r="F7" s="13"/>
      <c r="G7" s="13"/>
      <c r="H7" s="13"/>
      <c r="I7" s="13"/>
      <c r="J7" s="3"/>
      <c r="K7" s="3"/>
    </row>
    <row r="8" customFormat="false" ht="9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customFormat="false" ht="21.75" hidden="false" customHeight="true" outlineLevel="0" collapsed="false">
      <c r="A9" s="14" t="s">
        <v>18</v>
      </c>
      <c r="B9" s="14"/>
      <c r="C9" s="14"/>
      <c r="D9" s="14"/>
      <c r="E9" s="14"/>
      <c r="F9" s="14"/>
      <c r="G9" s="14"/>
      <c r="H9" s="14"/>
      <c r="I9" s="3"/>
      <c r="J9" s="3"/>
      <c r="K9" s="3"/>
    </row>
    <row r="10" customFormat="false" ht="19.5" hidden="false" customHeight="true" outlineLevel="0" collapsed="false">
      <c r="A10" s="15" t="s">
        <v>19</v>
      </c>
      <c r="B10" s="16" t="s">
        <v>20</v>
      </c>
      <c r="C10" s="16" t="s">
        <v>21</v>
      </c>
      <c r="D10" s="16" t="s">
        <v>22</v>
      </c>
      <c r="E10" s="16" t="s">
        <v>23</v>
      </c>
      <c r="F10" s="16" t="s">
        <v>24</v>
      </c>
      <c r="G10" s="16" t="s">
        <v>25</v>
      </c>
      <c r="H10" s="16" t="s">
        <v>26</v>
      </c>
      <c r="I10" s="3"/>
      <c r="J10" s="3"/>
      <c r="K10" s="3"/>
    </row>
    <row r="11" customFormat="false" ht="19.5" hidden="false" customHeight="true" outlineLevel="0" collapsed="false">
      <c r="A11" s="17" t="s">
        <v>27</v>
      </c>
      <c r="B11" s="18" t="n">
        <v>0.008</v>
      </c>
      <c r="C11" s="19" t="n">
        <v>80000000</v>
      </c>
      <c r="D11" s="20" t="n">
        <v>640000</v>
      </c>
      <c r="E11" s="20" t="n">
        <v>247500</v>
      </c>
      <c r="F11" s="21" t="n">
        <f aca="false">IFERROR(E11/D11,0)</f>
        <v>0.38671875</v>
      </c>
      <c r="G11" s="22" t="s">
        <v>28</v>
      </c>
      <c r="H11" s="17" t="s">
        <v>29</v>
      </c>
      <c r="I11" s="3"/>
      <c r="J11" s="3"/>
      <c r="K11" s="3"/>
    </row>
    <row r="12" customFormat="false" ht="19.5" hidden="false" customHeight="true" outlineLevel="0" collapsed="false">
      <c r="A12" s="23" t="s">
        <v>30</v>
      </c>
      <c r="B12" s="24" t="n">
        <v>0.015</v>
      </c>
      <c r="C12" s="25" t="n">
        <v>100000000</v>
      </c>
      <c r="D12" s="26" t="n">
        <v>1500000</v>
      </c>
      <c r="E12" s="26" t="n">
        <v>0</v>
      </c>
      <c r="F12" s="27" t="n">
        <f aca="false">IFERROR(E12/D12,0)</f>
        <v>0</v>
      </c>
      <c r="G12" s="28" t="s">
        <v>31</v>
      </c>
      <c r="H12" s="23" t="s">
        <v>32</v>
      </c>
      <c r="I12" s="3"/>
      <c r="J12" s="3"/>
      <c r="K12" s="3"/>
    </row>
    <row r="13" customFormat="false" ht="19.5" hidden="false" customHeight="true" outlineLevel="0" collapsed="false">
      <c r="A13" s="23" t="s">
        <v>33</v>
      </c>
      <c r="B13" s="24" t="n">
        <v>0.022</v>
      </c>
      <c r="C13" s="25" t="n">
        <v>50000000</v>
      </c>
      <c r="D13" s="26" t="n">
        <v>1100000</v>
      </c>
      <c r="E13" s="26" t="n">
        <v>0</v>
      </c>
      <c r="F13" s="27" t="n">
        <f aca="false">IFERROR(E13/D13,0)</f>
        <v>0</v>
      </c>
      <c r="G13" s="28" t="s">
        <v>31</v>
      </c>
      <c r="H13" s="23" t="s">
        <v>34</v>
      </c>
      <c r="I13" s="3"/>
      <c r="J13" s="3"/>
      <c r="K13" s="3"/>
    </row>
    <row r="14" customFormat="false" ht="19.5" hidden="false" customHeight="true" outlineLevel="0" collapsed="false">
      <c r="A14" s="23" t="s">
        <v>35</v>
      </c>
      <c r="B14" s="24" t="n">
        <v>0.03</v>
      </c>
      <c r="C14" s="25" t="n">
        <v>0</v>
      </c>
      <c r="D14" s="26" t="n">
        <v>0</v>
      </c>
      <c r="E14" s="26" t="n">
        <v>0</v>
      </c>
      <c r="F14" s="27" t="n">
        <v>0</v>
      </c>
      <c r="G14" s="28" t="s">
        <v>31</v>
      </c>
      <c r="H14" s="23" t="s">
        <v>36</v>
      </c>
      <c r="I14" s="3"/>
      <c r="J14" s="3"/>
      <c r="K14" s="3"/>
    </row>
    <row r="15" customFormat="false" ht="19.5" hidden="false" customHeight="true" outlineLevel="0" collapsed="false">
      <c r="A15" s="29" t="s">
        <v>37</v>
      </c>
      <c r="B15" s="29"/>
      <c r="C15" s="30" t="n">
        <f aca="false">C11+C12+C13</f>
        <v>230000000</v>
      </c>
      <c r="D15" s="31" t="n">
        <f aca="false">D11+D12+D13</f>
        <v>3240000</v>
      </c>
      <c r="E15" s="31" t="n">
        <f aca="false">E11+E12+E13</f>
        <v>247500</v>
      </c>
      <c r="F15" s="32" t="n">
        <f aca="false">IFERROR(E15/D15,0)</f>
        <v>0.0763888888888889</v>
      </c>
      <c r="G15" s="29"/>
      <c r="H15" s="29"/>
      <c r="I15" s="3"/>
      <c r="J15" s="3"/>
      <c r="K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9.7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21.75" hidden="false" customHeight="true" outlineLevel="0" collapsed="false">
      <c r="A18" s="14" t="s">
        <v>38</v>
      </c>
      <c r="B18" s="14"/>
      <c r="C18" s="14"/>
      <c r="D18" s="14"/>
      <c r="E18" s="14"/>
      <c r="F18" s="14"/>
      <c r="G18" s="14"/>
      <c r="H18" s="14"/>
      <c r="I18" s="3"/>
      <c r="J18" s="3"/>
      <c r="K18" s="3"/>
    </row>
    <row r="19" customFormat="false" ht="18" hidden="false" customHeight="true" outlineLevel="0" collapsed="false">
      <c r="A19" s="15" t="s">
        <v>39</v>
      </c>
      <c r="B19" s="16" t="s">
        <v>40</v>
      </c>
      <c r="C19" s="16" t="s">
        <v>41</v>
      </c>
      <c r="D19" s="16" t="s">
        <v>42</v>
      </c>
      <c r="E19" s="16" t="s">
        <v>43</v>
      </c>
      <c r="F19" s="16"/>
      <c r="G19" s="16"/>
      <c r="H19" s="16"/>
      <c r="I19" s="3"/>
      <c r="J19" s="3"/>
      <c r="K19" s="3"/>
    </row>
    <row r="20" customFormat="false" ht="19.5" hidden="false" customHeight="true" outlineLevel="0" collapsed="false">
      <c r="A20" s="23" t="s">
        <v>44</v>
      </c>
      <c r="B20" s="33" t="n">
        <v>200</v>
      </c>
      <c r="C20" s="33" t="n">
        <v>250</v>
      </c>
      <c r="D20" s="33" t="n">
        <v>300</v>
      </c>
      <c r="E20" s="34" t="s">
        <v>45</v>
      </c>
      <c r="F20" s="34"/>
      <c r="G20" s="34"/>
      <c r="H20" s="34"/>
      <c r="I20" s="3"/>
      <c r="J20" s="3"/>
      <c r="K20" s="3"/>
    </row>
    <row r="21" customFormat="false" ht="19.5" hidden="false" customHeight="true" outlineLevel="0" collapsed="false">
      <c r="A21" s="23" t="s">
        <v>46</v>
      </c>
      <c r="B21" s="25" t="n">
        <v>16200</v>
      </c>
      <c r="C21" s="25" t="n">
        <v>16200</v>
      </c>
      <c r="D21" s="25" t="n">
        <v>16200</v>
      </c>
      <c r="E21" s="34" t="s">
        <v>47</v>
      </c>
      <c r="F21" s="34"/>
      <c r="G21" s="34"/>
      <c r="H21" s="34"/>
      <c r="I21" s="3"/>
      <c r="J21" s="3"/>
      <c r="K21" s="3"/>
    </row>
    <row r="22" customFormat="false" ht="19.5" hidden="false" customHeight="true" outlineLevel="0" collapsed="false">
      <c r="A22" s="29" t="s">
        <v>48</v>
      </c>
      <c r="B22" s="31" t="n">
        <f aca="false">B20*1000000000/B21</f>
        <v>12345679.0123457</v>
      </c>
      <c r="C22" s="31" t="n">
        <f aca="false">C20*1000000000/C21</f>
        <v>15432098.7654321</v>
      </c>
      <c r="D22" s="31" t="n">
        <f aca="false">D20*1000000000/D21</f>
        <v>18518518.5185185</v>
      </c>
      <c r="E22" s="35" t="s">
        <v>49</v>
      </c>
      <c r="F22" s="35"/>
      <c r="G22" s="35"/>
      <c r="H22" s="35"/>
      <c r="I22" s="3"/>
      <c r="J22" s="3"/>
      <c r="K22" s="3"/>
    </row>
    <row r="23" customFormat="false" ht="19.5" hidden="false" customHeight="true" outlineLevel="0" collapsed="false">
      <c r="A23" s="23" t="s">
        <v>50</v>
      </c>
      <c r="B23" s="25" t="n">
        <v>80</v>
      </c>
      <c r="C23" s="25" t="n">
        <v>100</v>
      </c>
      <c r="D23" s="25" t="n">
        <v>120</v>
      </c>
      <c r="E23" s="34" t="s">
        <v>51</v>
      </c>
      <c r="F23" s="34"/>
      <c r="G23" s="34"/>
      <c r="H23" s="34"/>
      <c r="I23" s="3"/>
      <c r="J23" s="3"/>
      <c r="K23" s="3"/>
    </row>
    <row r="24" customFormat="false" ht="19.5" hidden="false" customHeight="true" outlineLevel="0" collapsed="false">
      <c r="A24" s="23" t="s">
        <v>52</v>
      </c>
      <c r="B24" s="36" t="n">
        <v>80</v>
      </c>
      <c r="C24" s="36" t="n">
        <v>90</v>
      </c>
      <c r="D24" s="36" t="n">
        <v>100</v>
      </c>
      <c r="E24" s="34" t="s">
        <v>53</v>
      </c>
      <c r="F24" s="34"/>
      <c r="G24" s="34"/>
      <c r="H24" s="34"/>
      <c r="I24" s="3"/>
      <c r="J24" s="3"/>
      <c r="K24" s="3"/>
    </row>
    <row r="25" customFormat="false" ht="19.5" hidden="false" customHeight="true" outlineLevel="0" collapsed="false">
      <c r="A25" s="23" t="s">
        <v>54</v>
      </c>
      <c r="B25" s="27" t="n">
        <v>0.65</v>
      </c>
      <c r="C25" s="27" t="n">
        <v>0.72</v>
      </c>
      <c r="D25" s="27" t="n">
        <v>0.8</v>
      </c>
      <c r="E25" s="34" t="s">
        <v>55</v>
      </c>
      <c r="F25" s="34"/>
      <c r="G25" s="34"/>
      <c r="H25" s="34"/>
      <c r="I25" s="3"/>
      <c r="J25" s="3"/>
      <c r="K25" s="3"/>
    </row>
    <row r="26" customFormat="false" ht="19.5" hidden="false" customHeight="true" outlineLevel="0" collapsed="false">
      <c r="A26" s="29" t="s">
        <v>56</v>
      </c>
      <c r="B26" s="37" t="n">
        <f aca="false">B23*B24</f>
        <v>6400</v>
      </c>
      <c r="C26" s="37" t="n">
        <f aca="false">C23*C24</f>
        <v>9000</v>
      </c>
      <c r="D26" s="37" t="n">
        <f aca="false">D23*D24</f>
        <v>12000</v>
      </c>
      <c r="E26" s="35" t="s">
        <v>57</v>
      </c>
      <c r="F26" s="35"/>
      <c r="G26" s="35"/>
      <c r="H26" s="35"/>
      <c r="I26" s="3"/>
      <c r="J26" s="3"/>
      <c r="K26" s="3"/>
    </row>
    <row r="27" customFormat="false" ht="19.5" hidden="false" customHeight="true" outlineLevel="0" collapsed="false">
      <c r="A27" s="23" t="s">
        <v>58</v>
      </c>
      <c r="B27" s="26" t="n">
        <f aca="false">B25*B22*30</f>
        <v>240740740.740741</v>
      </c>
      <c r="C27" s="26" t="n">
        <f aca="false">C25*C22*30</f>
        <v>333333333.333333</v>
      </c>
      <c r="D27" s="26" t="n">
        <f aca="false">D25*D22*30</f>
        <v>444444444.444445</v>
      </c>
      <c r="E27" s="34" t="s">
        <v>59</v>
      </c>
      <c r="F27" s="34"/>
      <c r="G27" s="34"/>
      <c r="H27" s="34"/>
      <c r="I27" s="3"/>
      <c r="J27" s="3"/>
      <c r="K27" s="3"/>
    </row>
    <row r="28" customFormat="false" ht="19.5" hidden="false" customHeight="true" outlineLevel="0" collapsed="false">
      <c r="A28" s="29" t="s">
        <v>60</v>
      </c>
      <c r="B28" s="31" t="n">
        <f aca="false">B26*12</f>
        <v>76800</v>
      </c>
      <c r="C28" s="31" t="n">
        <f aca="false">C26*12</f>
        <v>108000</v>
      </c>
      <c r="D28" s="31" t="n">
        <f aca="false">D26*12</f>
        <v>144000</v>
      </c>
      <c r="E28" s="35"/>
      <c r="F28" s="35"/>
      <c r="G28" s="35"/>
      <c r="H28" s="35"/>
      <c r="I28" s="3"/>
      <c r="J28" s="3"/>
      <c r="K28" s="3"/>
    </row>
    <row r="29" customFormat="false" ht="19.5" hidden="false" customHeight="true" outlineLevel="0" collapsed="false">
      <c r="A29" s="23" t="s">
        <v>61</v>
      </c>
      <c r="B29" s="27" t="n">
        <v>0.5</v>
      </c>
      <c r="C29" s="27" t="n">
        <v>0.55</v>
      </c>
      <c r="D29" s="27" t="n">
        <v>0.6</v>
      </c>
      <c r="E29" s="34" t="s">
        <v>62</v>
      </c>
      <c r="F29" s="34"/>
      <c r="G29" s="34"/>
      <c r="H29" s="34"/>
      <c r="I29" s="3"/>
      <c r="J29" s="3"/>
      <c r="K29" s="3"/>
    </row>
    <row r="30" customFormat="false" ht="19.5" hidden="false" customHeight="true" outlineLevel="0" collapsed="false">
      <c r="A30" s="29" t="s">
        <v>63</v>
      </c>
      <c r="B30" s="31" t="n">
        <f aca="false">B27*B28</f>
        <v>18488888888888.9</v>
      </c>
      <c r="C30" s="31" t="n">
        <f aca="false">C27*C28</f>
        <v>36000000000000</v>
      </c>
      <c r="D30" s="31" t="n">
        <f aca="false">D27*D28</f>
        <v>64000000000000</v>
      </c>
      <c r="E30" s="35"/>
      <c r="F30" s="35"/>
      <c r="G30" s="35"/>
      <c r="H30" s="35"/>
      <c r="I30" s="3"/>
      <c r="J30" s="3"/>
      <c r="K30" s="3"/>
    </row>
    <row r="31" customFormat="false" ht="19.5" hidden="false" customHeight="true" outlineLevel="0" collapsed="false">
      <c r="A31" s="23" t="s">
        <v>64</v>
      </c>
      <c r="B31" s="27" t="n">
        <v>0.7</v>
      </c>
      <c r="C31" s="27" t="n">
        <v>0.7</v>
      </c>
      <c r="D31" s="27" t="n">
        <v>0.7</v>
      </c>
      <c r="E31" s="34" t="s">
        <v>65</v>
      </c>
      <c r="F31" s="34"/>
      <c r="G31" s="34"/>
      <c r="H31" s="34"/>
      <c r="I31" s="3"/>
      <c r="J31" s="3"/>
      <c r="K31" s="3"/>
    </row>
    <row r="32" customFormat="false" ht="19.5" hidden="false" customHeight="true" outlineLevel="0" collapsed="false">
      <c r="A32" s="29" t="s">
        <v>66</v>
      </c>
      <c r="B32" s="31" t="n">
        <f aca="false">B29*B30</f>
        <v>9244444444444.45</v>
      </c>
      <c r="C32" s="31" t="n">
        <f aca="false">C29*C30</f>
        <v>19800000000000</v>
      </c>
      <c r="D32" s="31" t="n">
        <f aca="false">D29*D30</f>
        <v>38400000000000</v>
      </c>
      <c r="E32" s="35" t="s">
        <v>67</v>
      </c>
      <c r="F32" s="35"/>
      <c r="G32" s="35"/>
      <c r="H32" s="35"/>
      <c r="I32" s="3"/>
      <c r="J32" s="3"/>
      <c r="K32" s="3"/>
    </row>
    <row r="33" customFormat="false" ht="19.5" hidden="false" customHeight="true" outlineLevel="0" collapsed="false">
      <c r="A33" s="23" t="s">
        <v>68</v>
      </c>
      <c r="B33" s="36" t="n">
        <v>10</v>
      </c>
      <c r="C33" s="36" t="n">
        <v>10</v>
      </c>
      <c r="D33" s="36" t="n">
        <v>10</v>
      </c>
      <c r="E33" s="34" t="s">
        <v>69</v>
      </c>
      <c r="F33" s="34"/>
      <c r="G33" s="34"/>
      <c r="H33" s="34"/>
      <c r="I33" s="3"/>
      <c r="J33" s="3"/>
      <c r="K33" s="3"/>
    </row>
    <row r="34" customFormat="false" ht="19.5" hidden="false" customHeight="true" outlineLevel="0" collapsed="false">
      <c r="A34" s="29" t="s">
        <v>70</v>
      </c>
      <c r="B34" s="30" t="n">
        <f aca="false">ROUND(B22/B32,0)</f>
        <v>0</v>
      </c>
      <c r="C34" s="30" t="n">
        <f aca="false">ROUND(C22/C32,0)</f>
        <v>0</v>
      </c>
      <c r="D34" s="30" t="n">
        <f aca="false">ROUND(D22/D32,0)</f>
        <v>0</v>
      </c>
      <c r="E34" s="35" t="s">
        <v>71</v>
      </c>
      <c r="F34" s="35"/>
      <c r="G34" s="35"/>
      <c r="H34" s="35"/>
      <c r="I34" s="3"/>
      <c r="J34" s="3"/>
      <c r="K34" s="3"/>
    </row>
    <row r="35" customFormat="false" ht="19.5" hidden="false" customHeight="true" outlineLevel="0" collapsed="false">
      <c r="A35" s="29" t="s">
        <v>72</v>
      </c>
      <c r="B35" s="37" t="n">
        <f aca="false">IFERROR(B31/B33,0)</f>
        <v>0.07</v>
      </c>
      <c r="C35" s="37" t="n">
        <f aca="false">IFERROR(C31/C33,0)</f>
        <v>0.07</v>
      </c>
      <c r="D35" s="37" t="n">
        <f aca="false">IFERROR(D31/D33,0)</f>
        <v>0.07</v>
      </c>
      <c r="E35" s="35" t="s">
        <v>73</v>
      </c>
      <c r="F35" s="35"/>
      <c r="G35" s="35"/>
      <c r="H35" s="35"/>
      <c r="I35" s="3"/>
      <c r="J35" s="3"/>
      <c r="K35" s="3"/>
    </row>
    <row r="36" customFormat="false" ht="19.5" hidden="false" customHeight="true" outlineLevel="0" collapsed="false">
      <c r="A36" s="29" t="s">
        <v>74</v>
      </c>
      <c r="B36" s="32" t="n">
        <f aca="false">IFERROR(B34/B32,0)</f>
        <v>0</v>
      </c>
      <c r="C36" s="32" t="n">
        <f aca="false">IFERROR(C34/C32,0)</f>
        <v>0</v>
      </c>
      <c r="D36" s="32" t="n">
        <f aca="false">IFERROR(D34/D32,0)</f>
        <v>0</v>
      </c>
      <c r="E36" s="35" t="s">
        <v>75</v>
      </c>
      <c r="F36" s="35"/>
      <c r="G36" s="35"/>
      <c r="H36" s="35"/>
      <c r="I36" s="3"/>
      <c r="J36" s="3"/>
      <c r="K36" s="3"/>
    </row>
    <row r="37" customFormat="false" ht="19.5" hidden="false" customHeight="true" outlineLevel="0" collapsed="false">
      <c r="A37" s="23" t="s">
        <v>76</v>
      </c>
      <c r="B37" s="38" t="n">
        <f aca="false">B34*B21</f>
        <v>0</v>
      </c>
      <c r="C37" s="38" t="n">
        <f aca="false">C34*C21</f>
        <v>0</v>
      </c>
      <c r="D37" s="38" t="n">
        <f aca="false">D34*D21</f>
        <v>0</v>
      </c>
      <c r="E37" s="34" t="s">
        <v>77</v>
      </c>
      <c r="F37" s="34"/>
      <c r="G37" s="34"/>
      <c r="H37" s="34"/>
      <c r="I37" s="3"/>
      <c r="J37" s="3"/>
      <c r="K37" s="3"/>
    </row>
    <row r="38" customFormat="false" ht="19.5" hidden="false" customHeight="true" outlineLevel="0" collapsed="false">
      <c r="A38" s="29" t="s">
        <v>78</v>
      </c>
      <c r="B38" s="32" t="n">
        <f aca="false">IFERROR(B31/B22,0)</f>
        <v>5.67E-008</v>
      </c>
      <c r="C38" s="32" t="n">
        <f aca="false">IFERROR(C31/C22,0)</f>
        <v>4.536E-008</v>
      </c>
      <c r="D38" s="32" t="n">
        <f aca="false">IFERROR(D31/D22,0)</f>
        <v>3.78E-008</v>
      </c>
      <c r="E38" s="35" t="s">
        <v>79</v>
      </c>
      <c r="F38" s="35"/>
      <c r="G38" s="35"/>
      <c r="H38" s="35"/>
      <c r="I38" s="3"/>
      <c r="J38" s="3"/>
      <c r="K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9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21.75" hidden="false" customHeight="true" outlineLevel="0" collapsed="false">
      <c r="A41" s="14" t="s">
        <v>80</v>
      </c>
      <c r="B41" s="14"/>
      <c r="C41" s="14"/>
      <c r="D41" s="14"/>
      <c r="E41" s="14"/>
      <c r="F41" s="14"/>
      <c r="G41" s="14"/>
      <c r="H41" s="14"/>
      <c r="I41" s="3"/>
      <c r="J41" s="3"/>
      <c r="K41" s="3"/>
    </row>
    <row r="42" customFormat="false" ht="18" hidden="false" customHeight="true" outlineLevel="0" collapsed="false">
      <c r="A42" s="15" t="s">
        <v>81</v>
      </c>
      <c r="B42" s="16" t="s">
        <v>82</v>
      </c>
      <c r="C42" s="16" t="s">
        <v>83</v>
      </c>
      <c r="D42" s="16" t="s">
        <v>84</v>
      </c>
      <c r="E42" s="16" t="s">
        <v>43</v>
      </c>
      <c r="F42" s="3"/>
      <c r="G42" s="3"/>
      <c r="H42" s="3"/>
      <c r="I42" s="3"/>
      <c r="J42" s="3"/>
      <c r="K42" s="3"/>
    </row>
    <row r="43" customFormat="false" ht="21.75" hidden="false" customHeight="true" outlineLevel="0" collapsed="false">
      <c r="A43" s="23" t="s">
        <v>85</v>
      </c>
      <c r="B43" s="28" t="s">
        <v>86</v>
      </c>
      <c r="C43" s="23" t="s">
        <v>87</v>
      </c>
      <c r="D43" s="13"/>
      <c r="E43" s="39" t="s">
        <v>88</v>
      </c>
      <c r="F43" s="39"/>
      <c r="G43" s="39"/>
      <c r="H43" s="39"/>
      <c r="I43" s="3"/>
      <c r="J43" s="3"/>
      <c r="K43" s="3"/>
    </row>
    <row r="44" customFormat="false" ht="21.75" hidden="false" customHeight="true" outlineLevel="0" collapsed="false">
      <c r="A44" s="23" t="s">
        <v>89</v>
      </c>
      <c r="B44" s="28" t="s">
        <v>90</v>
      </c>
      <c r="C44" s="23" t="s">
        <v>91</v>
      </c>
      <c r="D44" s="28" t="s">
        <v>92</v>
      </c>
      <c r="E44" s="39" t="s">
        <v>93</v>
      </c>
      <c r="F44" s="39"/>
      <c r="G44" s="39"/>
      <c r="H44" s="39"/>
      <c r="I44" s="3"/>
      <c r="J44" s="3"/>
      <c r="K44" s="3"/>
    </row>
    <row r="45" customFormat="false" ht="21.75" hidden="false" customHeight="true" outlineLevel="0" collapsed="false">
      <c r="A45" s="23" t="s">
        <v>94</v>
      </c>
      <c r="B45" s="28" t="s">
        <v>95</v>
      </c>
      <c r="C45" s="23" t="s">
        <v>96</v>
      </c>
      <c r="D45" s="13"/>
      <c r="E45" s="39" t="s">
        <v>97</v>
      </c>
      <c r="F45" s="39"/>
      <c r="G45" s="39"/>
      <c r="H45" s="39"/>
      <c r="I45" s="3"/>
      <c r="J45" s="3"/>
      <c r="K45" s="3"/>
    </row>
    <row r="46" customFormat="false" ht="21.75" hidden="false" customHeight="true" outlineLevel="0" collapsed="false">
      <c r="A46" s="23" t="s">
        <v>98</v>
      </c>
      <c r="B46" s="28" t="s">
        <v>99</v>
      </c>
      <c r="C46" s="23" t="s">
        <v>100</v>
      </c>
      <c r="D46" s="28" t="s">
        <v>101</v>
      </c>
      <c r="E46" s="39" t="s">
        <v>102</v>
      </c>
      <c r="F46" s="39"/>
      <c r="G46" s="39"/>
      <c r="H46" s="39"/>
      <c r="I46" s="3"/>
      <c r="J46" s="3"/>
      <c r="K46" s="3"/>
    </row>
    <row r="47" customFormat="false" ht="21.75" hidden="false" customHeight="true" outlineLevel="0" collapsed="false">
      <c r="A47" s="17" t="s">
        <v>103</v>
      </c>
      <c r="B47" s="22" t="s">
        <v>104</v>
      </c>
      <c r="C47" s="17" t="s">
        <v>105</v>
      </c>
      <c r="D47" s="20" t="n">
        <f aca="false">C29*12</f>
        <v>6.6</v>
      </c>
      <c r="E47" s="40" t="s">
        <v>106</v>
      </c>
      <c r="F47" s="40"/>
      <c r="G47" s="40"/>
      <c r="H47" s="40"/>
      <c r="I47" s="3"/>
      <c r="J47" s="3"/>
      <c r="K47" s="3"/>
    </row>
    <row r="48" customFormat="false" ht="21.75" hidden="false" customHeight="true" outlineLevel="0" collapsed="false">
      <c r="A48" s="23" t="s">
        <v>107</v>
      </c>
      <c r="B48" s="28" t="s">
        <v>108</v>
      </c>
      <c r="C48" s="23" t="s">
        <v>109</v>
      </c>
      <c r="D48" s="13"/>
      <c r="E48" s="39" t="s">
        <v>110</v>
      </c>
      <c r="F48" s="39"/>
      <c r="G48" s="39"/>
      <c r="H48" s="39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9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21.75" hidden="false" customHeight="true" outlineLevel="0" collapsed="false">
      <c r="A52" s="14" t="s">
        <v>111</v>
      </c>
      <c r="B52" s="14"/>
      <c r="C52" s="14"/>
      <c r="D52" s="14"/>
      <c r="E52" s="14"/>
      <c r="F52" s="14"/>
      <c r="G52" s="14"/>
      <c r="H52" s="14"/>
      <c r="I52" s="3"/>
      <c r="J52" s="3"/>
      <c r="K52" s="3"/>
    </row>
    <row r="53" customFormat="false" ht="18" hidden="false" customHeight="true" outlineLevel="0" collapsed="false">
      <c r="A53" s="41" t="s">
        <v>112</v>
      </c>
      <c r="B53" s="42" t="n">
        <v>70</v>
      </c>
      <c r="C53" s="42" t="n">
        <v>80</v>
      </c>
      <c r="D53" s="42" t="n">
        <v>90</v>
      </c>
      <c r="E53" s="42" t="n">
        <v>95</v>
      </c>
      <c r="F53" s="42" t="n">
        <v>100</v>
      </c>
      <c r="G53" s="42" t="n">
        <v>110</v>
      </c>
      <c r="H53" s="42" t="n">
        <v>120</v>
      </c>
      <c r="I53" s="3"/>
      <c r="J53" s="3"/>
      <c r="K53" s="3"/>
    </row>
    <row r="54" customFormat="false" ht="18" hidden="false" customHeight="true" outlineLevel="0" collapsed="false">
      <c r="A54" s="43" t="n">
        <v>0.55</v>
      </c>
      <c r="B54" s="44" t="n">
        <v>0.035058177</v>
      </c>
      <c r="C54" s="44" t="n">
        <v>0.040066488</v>
      </c>
      <c r="D54" s="44" t="n">
        <v>0.045074799</v>
      </c>
      <c r="E54" s="44" t="n">
        <v>0.0475789545</v>
      </c>
      <c r="F54" s="45" t="n">
        <v>0.05008311</v>
      </c>
      <c r="G54" s="45" t="n">
        <v>0.055091421</v>
      </c>
      <c r="H54" s="45" t="n">
        <v>0.060099732</v>
      </c>
      <c r="I54" s="3"/>
      <c r="J54" s="3"/>
      <c r="K54" s="3"/>
    </row>
    <row r="55" customFormat="false" ht="18" hidden="false" customHeight="true" outlineLevel="0" collapsed="false">
      <c r="A55" s="43" t="n">
        <v>0.6</v>
      </c>
      <c r="B55" s="44" t="n">
        <v>0.038245284</v>
      </c>
      <c r="C55" s="44" t="n">
        <v>0.043708896</v>
      </c>
      <c r="D55" s="44" t="n">
        <v>0.049172508</v>
      </c>
      <c r="E55" s="45" t="n">
        <v>0.051904314</v>
      </c>
      <c r="F55" s="45" t="n">
        <v>0.05463612</v>
      </c>
      <c r="G55" s="45" t="n">
        <v>0.060099732</v>
      </c>
      <c r="H55" s="45" t="n">
        <v>0.065563344</v>
      </c>
      <c r="I55" s="3"/>
      <c r="J55" s="3"/>
      <c r="K55" s="3"/>
    </row>
    <row r="56" customFormat="false" ht="18" hidden="false" customHeight="true" outlineLevel="0" collapsed="false">
      <c r="A56" s="43" t="n">
        <v>0.65</v>
      </c>
      <c r="B56" s="44" t="n">
        <v>0.041432391</v>
      </c>
      <c r="C56" s="44" t="n">
        <v>0.047351304</v>
      </c>
      <c r="D56" s="45" t="n">
        <v>0.053270217</v>
      </c>
      <c r="E56" s="45" t="n">
        <v>0.0562296735</v>
      </c>
      <c r="F56" s="45" t="n">
        <v>0.05918913</v>
      </c>
      <c r="G56" s="45" t="n">
        <v>0.065108043</v>
      </c>
      <c r="H56" s="46" t="n">
        <v>0.071026956</v>
      </c>
      <c r="I56" s="3"/>
      <c r="J56" s="3"/>
      <c r="K56" s="3"/>
    </row>
    <row r="57" customFormat="false" ht="18" hidden="false" customHeight="true" outlineLevel="0" collapsed="false">
      <c r="A57" s="43" t="n">
        <v>0.7</v>
      </c>
      <c r="B57" s="44" t="n">
        <v>0.044619498</v>
      </c>
      <c r="C57" s="45" t="n">
        <v>0.050993712</v>
      </c>
      <c r="D57" s="45" t="n">
        <v>0.057367926</v>
      </c>
      <c r="E57" s="45" t="n">
        <v>0.060555033</v>
      </c>
      <c r="F57" s="45" t="n">
        <v>0.06374214</v>
      </c>
      <c r="G57" s="46" t="n">
        <v>0.070116354</v>
      </c>
      <c r="H57" s="46" t="n">
        <v>0.076490568</v>
      </c>
      <c r="I57" s="3"/>
      <c r="J57" s="3"/>
      <c r="K57" s="3"/>
    </row>
    <row r="58" customFormat="false" ht="18" hidden="false" customHeight="true" outlineLevel="0" collapsed="false">
      <c r="A58" s="43" t="n">
        <v>0.72</v>
      </c>
      <c r="B58" s="44" t="n">
        <v>0.0458943408</v>
      </c>
      <c r="C58" s="45" t="n">
        <v>0.0524506752</v>
      </c>
      <c r="D58" s="45" t="n">
        <v>0.0590070096</v>
      </c>
      <c r="E58" s="45" t="n">
        <v>0.0622851768</v>
      </c>
      <c r="F58" s="45" t="n">
        <v>0.065563344</v>
      </c>
      <c r="G58" s="47" t="n">
        <v>0.0721196784</v>
      </c>
      <c r="H58" s="47" t="n">
        <v>0.0786760128</v>
      </c>
      <c r="I58" s="3"/>
      <c r="J58" s="3"/>
      <c r="K58" s="3"/>
    </row>
    <row r="59" customFormat="false" ht="18" hidden="false" customHeight="true" outlineLevel="0" collapsed="false">
      <c r="A59" s="43" t="n">
        <v>0.75</v>
      </c>
      <c r="B59" s="44" t="n">
        <v>0.047806605</v>
      </c>
      <c r="C59" s="45" t="n">
        <v>0.05463612</v>
      </c>
      <c r="D59" s="45" t="n">
        <v>0.061465635</v>
      </c>
      <c r="E59" s="45" t="n">
        <v>0.0648803925</v>
      </c>
      <c r="F59" s="45" t="n">
        <v>0.06829515</v>
      </c>
      <c r="G59" s="46" t="n">
        <v>0.075124665</v>
      </c>
      <c r="H59" s="46" t="n">
        <v>0.08195418</v>
      </c>
      <c r="I59" s="3"/>
      <c r="J59" s="3"/>
      <c r="K59" s="3"/>
    </row>
    <row r="60" customFormat="false" ht="18" hidden="false" customHeight="true" outlineLevel="0" collapsed="false">
      <c r="A60" s="43" t="n">
        <v>0.8</v>
      </c>
      <c r="B60" s="45" t="n">
        <v>0.050993712</v>
      </c>
      <c r="C60" s="45" t="n">
        <v>0.058278528</v>
      </c>
      <c r="D60" s="45" t="n">
        <v>0.065563344</v>
      </c>
      <c r="E60" s="45" t="n">
        <v>0.069205752</v>
      </c>
      <c r="F60" s="46" t="n">
        <v>0.07284816</v>
      </c>
      <c r="G60" s="46" t="n">
        <v>0.080132976</v>
      </c>
      <c r="H60" s="46" t="n">
        <v>0.087417792</v>
      </c>
      <c r="I60" s="3"/>
      <c r="J60" s="3"/>
      <c r="K60" s="3"/>
    </row>
    <row r="61" customFormat="false" ht="18" hidden="false" customHeight="true" outlineLevel="0" collapsed="false">
      <c r="A61" s="43" t="n">
        <v>0.85</v>
      </c>
      <c r="B61" s="45" t="n">
        <v>0.054180819</v>
      </c>
      <c r="C61" s="45" t="n">
        <v>0.061920936</v>
      </c>
      <c r="D61" s="45" t="n">
        <v>0.069661053</v>
      </c>
      <c r="E61" s="46" t="n">
        <v>0.0735311115</v>
      </c>
      <c r="F61" s="46" t="n">
        <v>0.07740117</v>
      </c>
      <c r="G61" s="46" t="n">
        <v>0.085141287</v>
      </c>
      <c r="H61" s="46" t="n">
        <v>0.092881404</v>
      </c>
      <c r="I61" s="3"/>
      <c r="J61" s="3"/>
      <c r="K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</sheetData>
  <mergeCells count="32">
    <mergeCell ref="A1:I1"/>
    <mergeCell ref="A2:I2"/>
    <mergeCell ref="A9:H9"/>
    <mergeCell ref="A18:H18"/>
    <mergeCell ref="E19:H19"/>
    <mergeCell ref="E20:H20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E33:H33"/>
    <mergeCell ref="E34:H34"/>
    <mergeCell ref="E35:H35"/>
    <mergeCell ref="E36:H36"/>
    <mergeCell ref="E37:H37"/>
    <mergeCell ref="E38:H38"/>
    <mergeCell ref="A41:H41"/>
    <mergeCell ref="E43:H43"/>
    <mergeCell ref="E44:H44"/>
    <mergeCell ref="E45:H45"/>
    <mergeCell ref="E46:H46"/>
    <mergeCell ref="E47:H47"/>
    <mergeCell ref="E48:H48"/>
    <mergeCell ref="A52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14"/>
  </cols>
  <sheetData>
    <row r="1" customFormat="false" ht="31.5" hidden="false" customHeight="true" outlineLevel="0" collapsed="false">
      <c r="A1" s="48" t="s">
        <v>113</v>
      </c>
      <c r="B1" s="48"/>
      <c r="C1" s="48"/>
      <c r="D1" s="48"/>
    </row>
    <row r="2" customFormat="false" ht="18" hidden="false" customHeight="true" outlineLevel="0" collapsed="false">
      <c r="A2" s="4" t="s">
        <v>114</v>
      </c>
      <c r="B2" s="4"/>
      <c r="C2" s="4"/>
      <c r="D2" s="4"/>
    </row>
    <row r="3" customFormat="false" ht="15" hidden="false" customHeight="true" outlineLevel="0" collapsed="false">
      <c r="A3" s="3"/>
      <c r="B3" s="3"/>
      <c r="C3" s="3"/>
      <c r="D3" s="3"/>
    </row>
    <row r="4" customFormat="false" ht="12" hidden="false" customHeight="true" outlineLevel="0" collapsed="false">
      <c r="A4" s="3"/>
      <c r="B4" s="3"/>
      <c r="C4" s="3"/>
      <c r="D4" s="3"/>
    </row>
    <row r="5" customFormat="false" ht="21.75" hidden="false" customHeight="true" outlineLevel="0" collapsed="false">
      <c r="A5" s="14" t="s">
        <v>115</v>
      </c>
      <c r="B5" s="14"/>
      <c r="C5" s="14"/>
      <c r="D5" s="3"/>
    </row>
    <row r="6" customFormat="false" ht="19.5" hidden="false" customHeight="true" outlineLevel="0" collapsed="false">
      <c r="A6" s="49" t="s">
        <v>116</v>
      </c>
      <c r="B6" s="50" t="n">
        <v>16200</v>
      </c>
      <c r="C6" s="51" t="s">
        <v>117</v>
      </c>
      <c r="D6" s="3"/>
    </row>
    <row r="7" customFormat="false" ht="19.5" hidden="false" customHeight="true" outlineLevel="0" collapsed="false">
      <c r="A7" s="49" t="s">
        <v>118</v>
      </c>
      <c r="B7" s="52" t="n">
        <v>0.035</v>
      </c>
      <c r="C7" s="51" t="s">
        <v>119</v>
      </c>
      <c r="D7" s="3"/>
    </row>
    <row r="8" customFormat="false" ht="19.5" hidden="false" customHeight="true" outlineLevel="0" collapsed="false">
      <c r="A8" s="49" t="s">
        <v>120</v>
      </c>
      <c r="B8" s="53" t="n">
        <v>0.01</v>
      </c>
      <c r="C8" s="51" t="s">
        <v>121</v>
      </c>
      <c r="D8" s="3"/>
    </row>
    <row r="9" customFormat="false" ht="21.75" hidden="false" customHeight="true" outlineLevel="0" collapsed="false">
      <c r="A9" s="14" t="s">
        <v>122</v>
      </c>
      <c r="B9" s="14"/>
      <c r="C9" s="14"/>
      <c r="D9" s="3"/>
    </row>
    <row r="10" customFormat="false" ht="19.5" hidden="false" customHeight="true" outlineLevel="0" collapsed="false">
      <c r="A10" s="49" t="s">
        <v>123</v>
      </c>
      <c r="B10" s="50" t="n">
        <v>1000000000</v>
      </c>
      <c r="C10" s="51" t="s">
        <v>124</v>
      </c>
      <c r="D10" s="3"/>
    </row>
    <row r="11" customFormat="false" ht="19.5" hidden="false" customHeight="true" outlineLevel="0" collapsed="false">
      <c r="A11" s="49" t="s">
        <v>125</v>
      </c>
      <c r="B11" s="54" t="n">
        <v>0.008</v>
      </c>
      <c r="C11" s="51" t="s">
        <v>126</v>
      </c>
      <c r="D11" s="3"/>
    </row>
    <row r="12" customFormat="false" ht="19.5" hidden="false" customHeight="true" outlineLevel="0" collapsed="false">
      <c r="A12" s="49" t="s">
        <v>127</v>
      </c>
      <c r="B12" s="54" t="n">
        <v>0.015</v>
      </c>
      <c r="C12" s="51" t="s">
        <v>128</v>
      </c>
      <c r="D12" s="3"/>
    </row>
    <row r="13" customFormat="false" ht="19.5" hidden="false" customHeight="true" outlineLevel="0" collapsed="false">
      <c r="A13" s="49" t="s">
        <v>129</v>
      </c>
      <c r="B13" s="54" t="n">
        <v>0.022</v>
      </c>
      <c r="C13" s="51" t="s">
        <v>130</v>
      </c>
      <c r="D13" s="3"/>
    </row>
    <row r="14" customFormat="false" ht="19.5" hidden="false" customHeight="true" outlineLevel="0" collapsed="false">
      <c r="A14" s="49" t="s">
        <v>131</v>
      </c>
      <c r="B14" s="54" t="n">
        <v>0.03</v>
      </c>
      <c r="C14" s="51" t="s">
        <v>132</v>
      </c>
      <c r="D14" s="3"/>
    </row>
    <row r="15" customFormat="false" ht="19.5" hidden="false" customHeight="true" outlineLevel="0" collapsed="false">
      <c r="A15" s="49" t="s">
        <v>133</v>
      </c>
      <c r="B15" s="55" t="n">
        <v>2000000</v>
      </c>
      <c r="C15" s="51" t="s">
        <v>134</v>
      </c>
      <c r="D15" s="3"/>
    </row>
    <row r="16" customFormat="false" ht="19.5" hidden="false" customHeight="true" outlineLevel="0" collapsed="false">
      <c r="A16" s="49" t="s">
        <v>135</v>
      </c>
      <c r="B16" s="55" t="n">
        <v>640000</v>
      </c>
      <c r="C16" s="51" t="s">
        <v>136</v>
      </c>
      <c r="D16" s="3"/>
    </row>
    <row r="17" customFormat="false" ht="19.5" hidden="false" customHeight="true" outlineLevel="0" collapsed="false">
      <c r="A17" s="49" t="s">
        <v>137</v>
      </c>
      <c r="B17" s="56" t="n">
        <v>12</v>
      </c>
      <c r="C17" s="51" t="s">
        <v>138</v>
      </c>
      <c r="D17" s="3"/>
    </row>
    <row r="18" customFormat="false" ht="19.5" hidden="false" customHeight="true" outlineLevel="0" collapsed="false">
      <c r="A18" s="49" t="s">
        <v>139</v>
      </c>
      <c r="B18" s="56" t="n">
        <v>24</v>
      </c>
      <c r="C18" s="51" t="s">
        <v>140</v>
      </c>
      <c r="D18" s="3"/>
    </row>
    <row r="19" customFormat="false" ht="19.5" hidden="false" customHeight="true" outlineLevel="0" collapsed="false">
      <c r="A19" s="49" t="s">
        <v>141</v>
      </c>
      <c r="B19" s="50" t="n">
        <v>500</v>
      </c>
      <c r="C19" s="51" t="s">
        <v>142</v>
      </c>
      <c r="D19" s="3"/>
    </row>
    <row r="20" customFormat="false" ht="19.5" hidden="false" customHeight="true" outlineLevel="0" collapsed="false">
      <c r="A20" s="49" t="s">
        <v>143</v>
      </c>
      <c r="B20" s="57" t="n">
        <v>0.005</v>
      </c>
      <c r="C20" s="51" t="s">
        <v>144</v>
      </c>
      <c r="D20" s="3"/>
    </row>
    <row r="21" customFormat="false" ht="21.75" hidden="false" customHeight="true" outlineLevel="0" collapsed="false">
      <c r="A21" s="14" t="s">
        <v>145</v>
      </c>
      <c r="B21" s="14"/>
      <c r="C21" s="14"/>
      <c r="D21" s="3"/>
    </row>
    <row r="22" customFormat="false" ht="19.5" hidden="false" customHeight="true" outlineLevel="0" collapsed="false">
      <c r="A22" s="49" t="s">
        <v>146</v>
      </c>
      <c r="B22" s="58" t="s">
        <v>147</v>
      </c>
      <c r="C22" s="51" t="s">
        <v>148</v>
      </c>
      <c r="D22" s="3"/>
    </row>
    <row r="23" customFormat="false" ht="19.5" hidden="false" customHeight="true" outlineLevel="0" collapsed="false">
      <c r="A23" s="49" t="s">
        <v>149</v>
      </c>
      <c r="B23" s="59" t="n">
        <v>200000000000</v>
      </c>
      <c r="C23" s="51" t="s">
        <v>150</v>
      </c>
      <c r="D23" s="3"/>
    </row>
    <row r="24" customFormat="false" ht="19.5" hidden="false" customHeight="true" outlineLevel="0" collapsed="false">
      <c r="A24" s="49" t="s">
        <v>151</v>
      </c>
      <c r="B24" s="59" t="n">
        <v>300000000000</v>
      </c>
      <c r="C24" s="51" t="s">
        <v>152</v>
      </c>
      <c r="D24" s="3"/>
    </row>
    <row r="25" customFormat="false" ht="19.5" hidden="false" customHeight="true" outlineLevel="0" collapsed="false">
      <c r="A25" s="49" t="s">
        <v>153</v>
      </c>
      <c r="B25" s="60" t="str">
        <f aca="false">IFERROR(((B23+B24)/2)/B5,"")</f>
        <v/>
      </c>
      <c r="C25" s="51" t="s">
        <v>154</v>
      </c>
      <c r="D25" s="3"/>
    </row>
    <row r="26" customFormat="false" ht="19.5" hidden="false" customHeight="true" outlineLevel="0" collapsed="false">
      <c r="A26" s="49" t="s">
        <v>155</v>
      </c>
      <c r="B26" s="58" t="s">
        <v>156</v>
      </c>
      <c r="C26" s="51" t="s">
        <v>157</v>
      </c>
      <c r="D26" s="3"/>
    </row>
    <row r="27" customFormat="false" ht="19.5" hidden="false" customHeight="true" outlineLevel="0" collapsed="false">
      <c r="A27" s="49" t="s">
        <v>158</v>
      </c>
      <c r="B27" s="58" t="s">
        <v>159</v>
      </c>
      <c r="C27" s="51" t="s">
        <v>160</v>
      </c>
      <c r="D27" s="3"/>
    </row>
    <row r="28" customFormat="false" ht="19.5" hidden="false" customHeight="true" outlineLevel="0" collapsed="false">
      <c r="A28" s="49" t="s">
        <v>161</v>
      </c>
      <c r="B28" s="50" t="n">
        <v>100</v>
      </c>
      <c r="C28" s="51" t="s">
        <v>162</v>
      </c>
      <c r="D28" s="3"/>
    </row>
    <row r="29" customFormat="false" ht="19.5" hidden="false" customHeight="true" outlineLevel="0" collapsed="false">
      <c r="A29" s="49" t="s">
        <v>163</v>
      </c>
      <c r="B29" s="59" t="n">
        <v>30000000000</v>
      </c>
      <c r="C29" s="51" t="s">
        <v>164</v>
      </c>
      <c r="D29" s="3"/>
    </row>
    <row r="30" customFormat="false" ht="19.5" hidden="false" customHeight="true" outlineLevel="0" collapsed="false">
      <c r="A30" s="49" t="s">
        <v>165</v>
      </c>
      <c r="B30" s="61" t="n">
        <f aca="false">IFERROR((B23+B24)/2+B29,"")</f>
        <v>280000000000</v>
      </c>
      <c r="C30" s="51" t="s">
        <v>166</v>
      </c>
      <c r="D30" s="3"/>
    </row>
    <row r="31" customFormat="false" ht="21.75" hidden="false" customHeight="true" outlineLevel="0" collapsed="false">
      <c r="A31" s="14" t="s">
        <v>167</v>
      </c>
      <c r="B31" s="14"/>
      <c r="C31" s="14"/>
      <c r="D31" s="3"/>
    </row>
    <row r="32" customFormat="false" ht="19.5" hidden="false" customHeight="true" outlineLevel="0" collapsed="false">
      <c r="A32" s="49" t="s">
        <v>168</v>
      </c>
      <c r="B32" s="55" t="n">
        <v>90</v>
      </c>
      <c r="C32" s="51" t="s">
        <v>169</v>
      </c>
      <c r="D32" s="3"/>
    </row>
    <row r="33" customFormat="false" ht="19.5" hidden="false" customHeight="true" outlineLevel="0" collapsed="false">
      <c r="A33" s="49" t="s">
        <v>170</v>
      </c>
      <c r="B33" s="52" t="n">
        <v>0.65</v>
      </c>
      <c r="C33" s="51" t="s">
        <v>171</v>
      </c>
      <c r="D33" s="3"/>
    </row>
    <row r="34" customFormat="false" ht="19.5" hidden="false" customHeight="true" outlineLevel="0" collapsed="false">
      <c r="A34" s="49" t="s">
        <v>172</v>
      </c>
      <c r="B34" s="52" t="n">
        <v>0.72</v>
      </c>
      <c r="C34" s="51" t="s">
        <v>173</v>
      </c>
      <c r="D34" s="3"/>
    </row>
    <row r="35" customFormat="false" ht="19.5" hidden="false" customHeight="true" outlineLevel="0" collapsed="false">
      <c r="A35" s="49" t="s">
        <v>174</v>
      </c>
      <c r="B35" s="62" t="n">
        <f aca="false">B32*B33</f>
        <v>58.5</v>
      </c>
      <c r="C35" s="51" t="s">
        <v>175</v>
      </c>
      <c r="D35" s="3"/>
    </row>
    <row r="36" customFormat="false" ht="19.5" hidden="false" customHeight="true" outlineLevel="0" collapsed="false">
      <c r="A36" s="49" t="s">
        <v>176</v>
      </c>
      <c r="B36" s="60" t="n">
        <f aca="false">B35*100*30</f>
        <v>175500</v>
      </c>
      <c r="C36" s="51" t="s">
        <v>177</v>
      </c>
      <c r="D36" s="3"/>
    </row>
    <row r="37" customFormat="false" ht="19.5" hidden="false" customHeight="true" outlineLevel="0" collapsed="false">
      <c r="A37" s="49" t="s">
        <v>178</v>
      </c>
      <c r="B37" s="60" t="n">
        <f aca="false">B36*12</f>
        <v>2106000</v>
      </c>
      <c r="C37" s="3"/>
      <c r="D37" s="3"/>
    </row>
    <row r="38" customFormat="false" ht="19.5" hidden="false" customHeight="true" outlineLevel="0" collapsed="false">
      <c r="A38" s="49" t="s">
        <v>179</v>
      </c>
      <c r="B38" s="52" t="n">
        <v>0.55</v>
      </c>
      <c r="C38" s="51" t="s">
        <v>180</v>
      </c>
      <c r="D38" s="3"/>
    </row>
    <row r="39" customFormat="false" ht="19.5" hidden="false" customHeight="true" outlineLevel="0" collapsed="false">
      <c r="A39" s="49" t="s">
        <v>181</v>
      </c>
      <c r="B39" s="60" t="n">
        <f aca="false">B37*B38</f>
        <v>1158300</v>
      </c>
      <c r="C39" s="51" t="s">
        <v>182</v>
      </c>
      <c r="D39" s="3"/>
    </row>
    <row r="40" customFormat="false" ht="19.5" hidden="false" customHeight="true" outlineLevel="0" collapsed="false">
      <c r="A40" s="49" t="s">
        <v>183</v>
      </c>
      <c r="B40" s="52" t="n">
        <v>0.7</v>
      </c>
      <c r="C40" s="51" t="s">
        <v>184</v>
      </c>
      <c r="D40" s="3"/>
    </row>
    <row r="41" customFormat="false" ht="19.5" hidden="false" customHeight="true" outlineLevel="0" collapsed="false">
      <c r="A41" s="63" t="s">
        <v>66</v>
      </c>
      <c r="B41" s="64" t="n">
        <f aca="false">B39*B40</f>
        <v>810810</v>
      </c>
      <c r="C41" s="65" t="s">
        <v>185</v>
      </c>
      <c r="D41" s="3"/>
    </row>
    <row r="42" customFormat="false" ht="21.75" hidden="false" customHeight="true" outlineLevel="0" collapsed="false">
      <c r="A42" s="14" t="s">
        <v>186</v>
      </c>
      <c r="B42" s="14"/>
      <c r="C42" s="14"/>
      <c r="D42" s="3"/>
    </row>
    <row r="43" customFormat="false" ht="19.5" hidden="false" customHeight="true" outlineLevel="0" collapsed="false">
      <c r="A43" s="49" t="s">
        <v>187</v>
      </c>
      <c r="B43" s="53" t="n">
        <v>10</v>
      </c>
      <c r="C43" s="51" t="s">
        <v>188</v>
      </c>
      <c r="D43" s="3"/>
    </row>
    <row r="44" customFormat="false" ht="19.5" hidden="false" customHeight="true" outlineLevel="0" collapsed="false">
      <c r="A44" s="49" t="s">
        <v>189</v>
      </c>
      <c r="B44" s="66" t="n">
        <f aca="false">ROUND(B33/B43,0)</f>
        <v>0</v>
      </c>
      <c r="C44" s="51" t="s">
        <v>190</v>
      </c>
      <c r="D44" s="3"/>
    </row>
    <row r="45" customFormat="false" ht="19.5" hidden="false" customHeight="true" outlineLevel="0" collapsed="false">
      <c r="A45" s="63" t="s">
        <v>72</v>
      </c>
      <c r="B45" s="67" t="n">
        <f aca="false">IFERROR(B42/B44,0)</f>
        <v>0</v>
      </c>
      <c r="C45" s="65" t="s">
        <v>191</v>
      </c>
      <c r="D45" s="3"/>
    </row>
    <row r="46" customFormat="false" ht="19.5" hidden="false" customHeight="true" outlineLevel="0" collapsed="false">
      <c r="A46" s="63" t="s">
        <v>192</v>
      </c>
      <c r="B46" s="68" t="n">
        <f aca="false">IFERROR(B45/B42,0)</f>
        <v>0</v>
      </c>
      <c r="C46" s="65" t="s">
        <v>193</v>
      </c>
      <c r="D46" s="3"/>
    </row>
    <row r="47" customFormat="false" ht="19.5" hidden="false" customHeight="true" outlineLevel="0" collapsed="false">
      <c r="A47" s="49" t="s">
        <v>194</v>
      </c>
      <c r="B47" s="69" t="n">
        <f aca="false">B45*B5</f>
        <v>0</v>
      </c>
      <c r="C47" s="51" t="s">
        <v>77</v>
      </c>
      <c r="D47" s="3"/>
    </row>
    <row r="48" customFormat="false" ht="21.75" hidden="false" customHeight="true" outlineLevel="0" collapsed="false">
      <c r="A48" s="14" t="s">
        <v>195</v>
      </c>
      <c r="B48" s="14"/>
      <c r="C48" s="14"/>
      <c r="D48" s="3"/>
    </row>
    <row r="49" customFormat="false" ht="19.5" hidden="false" customHeight="true" outlineLevel="0" collapsed="false">
      <c r="A49" s="49" t="s">
        <v>196</v>
      </c>
      <c r="B49" s="58" t="s">
        <v>197</v>
      </c>
      <c r="C49" s="51" t="s">
        <v>198</v>
      </c>
      <c r="D49" s="3"/>
    </row>
    <row r="50" customFormat="false" ht="19.5" hidden="false" customHeight="true" outlineLevel="0" collapsed="false">
      <c r="A50" s="49" t="s">
        <v>199</v>
      </c>
      <c r="B50" s="58" t="s">
        <v>200</v>
      </c>
      <c r="C50" s="51" t="s">
        <v>201</v>
      </c>
      <c r="D50" s="3"/>
    </row>
    <row r="51" customFormat="false" ht="19.5" hidden="false" customHeight="true" outlineLevel="0" collapsed="false">
      <c r="A51" s="49" t="s">
        <v>98</v>
      </c>
      <c r="B51" s="58" t="s">
        <v>202</v>
      </c>
      <c r="C51" s="51" t="s">
        <v>203</v>
      </c>
      <c r="D51" s="3"/>
    </row>
    <row r="52" customFormat="false" ht="19.5" hidden="false" customHeight="true" outlineLevel="0" collapsed="false">
      <c r="A52" s="49" t="s">
        <v>204</v>
      </c>
      <c r="B52" s="58" t="s">
        <v>104</v>
      </c>
      <c r="C52" s="51" t="s">
        <v>205</v>
      </c>
      <c r="D52" s="3"/>
    </row>
    <row r="53" customFormat="false" ht="19.5" hidden="false" customHeight="true" outlineLevel="0" collapsed="false">
      <c r="A53" s="49" t="s">
        <v>206</v>
      </c>
      <c r="B53" s="58" t="s">
        <v>207</v>
      </c>
      <c r="C53" s="51" t="s">
        <v>208</v>
      </c>
      <c r="D53" s="3"/>
    </row>
    <row r="54" customFormat="false" ht="19.5" hidden="false" customHeight="true" outlineLevel="0" collapsed="false">
      <c r="A54" s="49" t="s">
        <v>209</v>
      </c>
      <c r="B54" s="58" t="s">
        <v>210</v>
      </c>
      <c r="C54" s="51" t="s">
        <v>211</v>
      </c>
      <c r="D54" s="3"/>
    </row>
    <row r="55" customFormat="false" ht="19.5" hidden="false" customHeight="true" outlineLevel="0" collapsed="false">
      <c r="A55" s="49" t="s">
        <v>212</v>
      </c>
      <c r="B55" s="58" t="s">
        <v>197</v>
      </c>
      <c r="C55" s="51" t="s">
        <v>213</v>
      </c>
      <c r="D55" s="3"/>
    </row>
    <row r="56" customFormat="false" ht="15" hidden="false" customHeight="true" outlineLevel="0" collapsed="false">
      <c r="A56" s="3"/>
      <c r="B56" s="3"/>
      <c r="C56" s="3"/>
      <c r="D56" s="3"/>
    </row>
    <row r="57" customFormat="false" ht="15" hidden="false" customHeight="true" outlineLevel="0" collapsed="false">
      <c r="A57" s="3"/>
      <c r="B57" s="3"/>
      <c r="C57" s="3"/>
      <c r="D57" s="3"/>
    </row>
    <row r="58" customFormat="false" ht="15" hidden="false" customHeight="true" outlineLevel="0" collapsed="false">
      <c r="A58" s="3"/>
      <c r="B58" s="3"/>
      <c r="C58" s="3"/>
      <c r="D58" s="3"/>
    </row>
    <row r="59" customFormat="false" ht="15" hidden="false" customHeight="true" outlineLevel="0" collapsed="false">
      <c r="A59" s="3"/>
      <c r="B59" s="3"/>
      <c r="C59" s="3"/>
      <c r="D59" s="3"/>
    </row>
    <row r="60" customFormat="false" ht="15" hidden="false" customHeight="true" outlineLevel="0" collapsed="false">
      <c r="A60" s="3"/>
      <c r="B60" s="3"/>
      <c r="C60" s="3"/>
      <c r="D60" s="3"/>
    </row>
    <row r="61" customFormat="false" ht="15" hidden="false" customHeight="true" outlineLevel="0" collapsed="false">
      <c r="A61" s="3"/>
      <c r="B61" s="3"/>
      <c r="C61" s="3"/>
      <c r="D61" s="3"/>
    </row>
    <row r="62" customFormat="false" ht="15" hidden="false" customHeight="true" outlineLevel="0" collapsed="false">
      <c r="A62" s="3"/>
      <c r="B62" s="3"/>
      <c r="C62" s="3"/>
      <c r="D62" s="3"/>
    </row>
    <row r="63" customFormat="false" ht="15" hidden="false" customHeight="true" outlineLevel="0" collapsed="false">
      <c r="A63" s="3"/>
      <c r="B63" s="3"/>
      <c r="C63" s="3"/>
      <c r="D63" s="3"/>
    </row>
    <row r="64" customFormat="false" ht="15" hidden="false" customHeight="true" outlineLevel="0" collapsed="false">
      <c r="A64" s="3"/>
      <c r="B64" s="3"/>
      <c r="C64" s="3"/>
      <c r="D64" s="3"/>
    </row>
    <row r="65" customFormat="false" ht="15" hidden="false" customHeight="true" outlineLevel="0" collapsed="false">
      <c r="A65" s="3"/>
      <c r="B65" s="3"/>
      <c r="C65" s="3"/>
      <c r="D65" s="3"/>
    </row>
    <row r="66" customFormat="false" ht="15" hidden="false" customHeight="true" outlineLevel="0" collapsed="false">
      <c r="A66" s="3"/>
      <c r="B66" s="3"/>
      <c r="C66" s="3"/>
      <c r="D66" s="3"/>
    </row>
    <row r="67" customFormat="false" ht="15" hidden="false" customHeight="true" outlineLevel="0" collapsed="false">
      <c r="A67" s="3"/>
      <c r="B67" s="3"/>
      <c r="C67" s="3"/>
      <c r="D67" s="3"/>
    </row>
    <row r="68" customFormat="false" ht="15" hidden="false" customHeight="true" outlineLevel="0" collapsed="false">
      <c r="A68" s="3"/>
      <c r="B68" s="3"/>
      <c r="C68" s="3"/>
      <c r="D68" s="3"/>
    </row>
    <row r="69" customFormat="false" ht="15" hidden="false" customHeight="true" outlineLevel="0" collapsed="false">
      <c r="A69" s="3"/>
      <c r="B69" s="3"/>
      <c r="C69" s="3"/>
      <c r="D69" s="3"/>
    </row>
    <row r="70" customFormat="false" ht="15" hidden="false" customHeight="true" outlineLevel="0" collapsed="false">
      <c r="A70" s="3"/>
      <c r="B70" s="3"/>
      <c r="C70" s="3"/>
      <c r="D70" s="3"/>
    </row>
    <row r="71" customFormat="false" ht="15" hidden="false" customHeight="true" outlineLevel="0" collapsed="false">
      <c r="A71" s="3"/>
      <c r="B71" s="3"/>
      <c r="C71" s="3"/>
      <c r="D71" s="3"/>
    </row>
    <row r="72" customFormat="false" ht="15" hidden="false" customHeight="true" outlineLevel="0" collapsed="false">
      <c r="A72" s="3"/>
      <c r="B72" s="3"/>
      <c r="C72" s="3"/>
      <c r="D72" s="3"/>
    </row>
    <row r="73" customFormat="false" ht="15" hidden="false" customHeight="true" outlineLevel="0" collapsed="false">
      <c r="A73" s="3"/>
      <c r="B73" s="3"/>
      <c r="C73" s="3"/>
      <c r="D73" s="3"/>
    </row>
    <row r="74" customFormat="false" ht="15" hidden="false" customHeight="true" outlineLevel="0" collapsed="false">
      <c r="A74" s="3"/>
      <c r="B74" s="3"/>
      <c r="C74" s="3"/>
      <c r="D74" s="3"/>
    </row>
    <row r="75" customFormat="false" ht="15" hidden="false" customHeight="true" outlineLevel="0" collapsed="false">
      <c r="A75" s="3"/>
      <c r="B75" s="3"/>
      <c r="C75" s="3"/>
      <c r="D75" s="3"/>
    </row>
    <row r="76" customFormat="false" ht="15" hidden="false" customHeight="true" outlineLevel="0" collapsed="false">
      <c r="A76" s="3"/>
      <c r="B76" s="3"/>
      <c r="C76" s="3"/>
      <c r="D76" s="3"/>
    </row>
    <row r="77" customFormat="false" ht="15" hidden="false" customHeight="true" outlineLevel="0" collapsed="false">
      <c r="A77" s="3"/>
      <c r="B77" s="3"/>
      <c r="C77" s="3"/>
      <c r="D77" s="3"/>
    </row>
    <row r="78" customFormat="false" ht="15" hidden="false" customHeight="true" outlineLevel="0" collapsed="false">
      <c r="A78" s="3"/>
      <c r="B78" s="3"/>
      <c r="C78" s="3"/>
      <c r="D78" s="3"/>
    </row>
    <row r="79" customFormat="false" ht="15" hidden="false" customHeight="true" outlineLevel="0" collapsed="false">
      <c r="A79" s="3"/>
      <c r="B79" s="3"/>
      <c r="C79" s="3"/>
      <c r="D79" s="3"/>
    </row>
    <row r="80" customFormat="false" ht="15" hidden="false" customHeight="true" outlineLevel="0" collapsed="false">
      <c r="A80" s="3"/>
      <c r="B80" s="3"/>
      <c r="C80" s="3"/>
      <c r="D80" s="3"/>
    </row>
    <row r="81" customFormat="false" ht="15" hidden="false" customHeight="true" outlineLevel="0" collapsed="false">
      <c r="A81" s="3"/>
      <c r="B81" s="3"/>
      <c r="C81" s="3"/>
      <c r="D81" s="3"/>
    </row>
    <row r="82" customFormat="false" ht="15" hidden="false" customHeight="true" outlineLevel="0" collapsed="false">
      <c r="A82" s="3"/>
      <c r="B82" s="3"/>
      <c r="C82" s="3"/>
      <c r="D82" s="3"/>
    </row>
    <row r="83" customFormat="false" ht="15" hidden="false" customHeight="true" outlineLevel="0" collapsed="false">
      <c r="A83" s="3"/>
      <c r="B83" s="3"/>
      <c r="C83" s="3"/>
      <c r="D83" s="3"/>
    </row>
    <row r="84" customFormat="false" ht="15" hidden="false" customHeight="true" outlineLevel="0" collapsed="false">
      <c r="A84" s="3"/>
      <c r="B84" s="3"/>
      <c r="C84" s="3"/>
      <c r="D84" s="3"/>
    </row>
    <row r="85" customFormat="false" ht="15" hidden="false" customHeight="true" outlineLevel="0" collapsed="false">
      <c r="A85" s="3"/>
      <c r="B85" s="3"/>
      <c r="C85" s="3"/>
      <c r="D85" s="3"/>
    </row>
    <row r="86" customFormat="false" ht="15" hidden="false" customHeight="true" outlineLevel="0" collapsed="false">
      <c r="A86" s="3"/>
      <c r="B86" s="3"/>
      <c r="C86" s="3"/>
      <c r="D86" s="3"/>
    </row>
    <row r="87" customFormat="false" ht="15" hidden="false" customHeight="true" outlineLevel="0" collapsed="false">
      <c r="A87" s="3"/>
      <c r="B87" s="3"/>
      <c r="C87" s="3"/>
      <c r="D87" s="3"/>
    </row>
    <row r="88" customFormat="false" ht="15" hidden="false" customHeight="true" outlineLevel="0" collapsed="false">
      <c r="A88" s="3"/>
      <c r="B88" s="3"/>
      <c r="C88" s="3"/>
      <c r="D88" s="3"/>
    </row>
    <row r="89" customFormat="false" ht="15" hidden="false" customHeight="true" outlineLevel="0" collapsed="false">
      <c r="A89" s="3"/>
      <c r="B89" s="3"/>
      <c r="C89" s="3"/>
      <c r="D89" s="3"/>
    </row>
  </sheetData>
  <mergeCells count="8">
    <mergeCell ref="A1:D1"/>
    <mergeCell ref="A2:D2"/>
    <mergeCell ref="A5:C5"/>
    <mergeCell ref="A9:C9"/>
    <mergeCell ref="A21:C21"/>
    <mergeCell ref="A31:C31"/>
    <mergeCell ref="A42:C42"/>
    <mergeCell ref="A48:C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8" min="2" style="1" width="16"/>
  </cols>
  <sheetData>
    <row r="1" customFormat="false" ht="30" hidden="false" customHeight="true" outlineLevel="0" collapsed="false">
      <c r="A1" s="70" t="s">
        <v>214</v>
      </c>
      <c r="B1" s="70"/>
      <c r="C1" s="70"/>
      <c r="D1" s="70"/>
      <c r="E1" s="70"/>
      <c r="F1" s="70"/>
      <c r="G1" s="70"/>
      <c r="H1" s="70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21.75" hidden="false" customHeight="true" outlineLevel="0" collapsed="false">
      <c r="A3" s="15"/>
      <c r="B3" s="16" t="s">
        <v>215</v>
      </c>
      <c r="C3" s="16" t="s">
        <v>216</v>
      </c>
      <c r="D3" s="16" t="s">
        <v>217</v>
      </c>
      <c r="E3" s="16" t="s">
        <v>218</v>
      </c>
      <c r="F3" s="16" t="s">
        <v>219</v>
      </c>
      <c r="G3" s="16" t="s">
        <v>37</v>
      </c>
      <c r="H3" s="16" t="s">
        <v>220</v>
      </c>
    </row>
    <row r="4" customFormat="false" ht="19.5" hidden="false" customHeight="true" outlineLevel="0" collapsed="false">
      <c r="A4" s="71" t="s">
        <v>221</v>
      </c>
      <c r="B4" s="71"/>
      <c r="C4" s="71"/>
      <c r="D4" s="71"/>
      <c r="E4" s="71"/>
      <c r="F4" s="71"/>
      <c r="G4" s="71"/>
      <c r="H4" s="71"/>
    </row>
    <row r="5" customFormat="false" ht="19.5" hidden="false" customHeight="true" outlineLevel="0" collapsed="false">
      <c r="A5" s="72" t="s">
        <v>222</v>
      </c>
      <c r="B5" s="73" t="n">
        <v>640000</v>
      </c>
      <c r="C5" s="73" t="n">
        <v>1500000</v>
      </c>
      <c r="D5" s="73" t="n">
        <v>1100000</v>
      </c>
      <c r="E5" s="73" t="n">
        <v>0</v>
      </c>
      <c r="F5" s="73" t="n">
        <v>0</v>
      </c>
      <c r="G5" s="74"/>
      <c r="H5" s="3"/>
    </row>
    <row r="6" customFormat="false" ht="19.5" hidden="false" customHeight="true" outlineLevel="0" collapsed="false">
      <c r="A6" s="75" t="s">
        <v>223</v>
      </c>
      <c r="B6" s="76" t="n">
        <v>-480000</v>
      </c>
      <c r="C6" s="76" t="n">
        <v>-720000</v>
      </c>
      <c r="D6" s="76" t="n">
        <v>-600000</v>
      </c>
      <c r="E6" s="76" t="n">
        <v>-400000</v>
      </c>
      <c r="F6" s="76" t="n">
        <v>-300000</v>
      </c>
      <c r="G6" s="74"/>
      <c r="H6" s="3"/>
    </row>
    <row r="7" customFormat="false" ht="19.5" hidden="false" customHeight="true" outlineLevel="0" collapsed="false">
      <c r="A7" s="75" t="s">
        <v>224</v>
      </c>
      <c r="B7" s="76" t="n">
        <v>-128000</v>
      </c>
      <c r="C7" s="76" t="n">
        <v>-250000</v>
      </c>
      <c r="D7" s="76" t="n">
        <v>-300000</v>
      </c>
      <c r="E7" s="76" t="n">
        <v>-250000</v>
      </c>
      <c r="F7" s="76" t="n">
        <v>-200000</v>
      </c>
      <c r="G7" s="74"/>
      <c r="H7" s="3"/>
    </row>
    <row r="8" customFormat="false" ht="19.5" hidden="false" customHeight="true" outlineLevel="0" collapsed="false">
      <c r="A8" s="75" t="s">
        <v>225</v>
      </c>
      <c r="B8" s="76" t="n">
        <v>-64000</v>
      </c>
      <c r="C8" s="76" t="n">
        <v>-120000</v>
      </c>
      <c r="D8" s="76" t="n">
        <v>-150000</v>
      </c>
      <c r="E8" s="76" t="n">
        <v>-150000</v>
      </c>
      <c r="F8" s="76" t="n">
        <v>-150000</v>
      </c>
      <c r="G8" s="74"/>
      <c r="H8" s="3"/>
    </row>
    <row r="9" customFormat="false" ht="19.5" hidden="false" customHeight="true" outlineLevel="0" collapsed="false">
      <c r="A9" s="75" t="s">
        <v>226</v>
      </c>
      <c r="B9" s="76" t="n">
        <v>-64000</v>
      </c>
      <c r="C9" s="76" t="n">
        <v>-80000</v>
      </c>
      <c r="D9" s="76" t="n">
        <v>-80000</v>
      </c>
      <c r="E9" s="76" t="n">
        <v>-80000</v>
      </c>
      <c r="F9" s="76" t="n">
        <v>-80000</v>
      </c>
      <c r="G9" s="74"/>
      <c r="H9" s="3"/>
    </row>
    <row r="10" customFormat="false" ht="19.5" hidden="false" customHeight="true" outlineLevel="0" collapsed="false">
      <c r="A10" s="72" t="s">
        <v>227</v>
      </c>
      <c r="B10" s="77" t="n">
        <f aca="false">B5+B6+B7+B8+B9</f>
        <v>-96000</v>
      </c>
      <c r="C10" s="77" t="n">
        <f aca="false">C5+C6+C7+C8+C9</f>
        <v>330000</v>
      </c>
      <c r="D10" s="77" t="n">
        <f aca="false">D5+D6+D7+D8+D9</f>
        <v>-30000</v>
      </c>
      <c r="E10" s="77" t="n">
        <f aca="false">E5+E6+E7+E8+E9</f>
        <v>-880000</v>
      </c>
      <c r="F10" s="77" t="n">
        <f aca="false">F5+F6+F7+F8+F9</f>
        <v>-730000</v>
      </c>
      <c r="G10" s="74"/>
      <c r="H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</row>
    <row r="12" customFormat="false" ht="19.5" hidden="false" customHeight="true" outlineLevel="0" collapsed="false">
      <c r="A12" s="71" t="s">
        <v>228</v>
      </c>
      <c r="B12" s="71"/>
      <c r="C12" s="71"/>
      <c r="D12" s="71"/>
      <c r="E12" s="71"/>
      <c r="F12" s="71"/>
      <c r="G12" s="71"/>
      <c r="H12" s="71"/>
    </row>
    <row r="13" customFormat="false" ht="19.5" hidden="false" customHeight="true" outlineLevel="0" collapsed="false">
      <c r="A13" s="75" t="s">
        <v>229</v>
      </c>
      <c r="B13" s="76" t="n">
        <v>0</v>
      </c>
      <c r="C13" s="76" t="n">
        <v>-15432099</v>
      </c>
      <c r="D13" s="76" t="n">
        <v>0</v>
      </c>
      <c r="E13" s="76" t="n">
        <v>0</v>
      </c>
      <c r="F13" s="76" t="n">
        <v>0</v>
      </c>
      <c r="G13" s="74"/>
      <c r="H13" s="3"/>
    </row>
    <row r="14" customFormat="false" ht="19.5" hidden="false" customHeight="true" outlineLevel="0" collapsed="false">
      <c r="A14" s="75" t="s">
        <v>230</v>
      </c>
      <c r="B14" s="76" t="n">
        <v>0</v>
      </c>
      <c r="C14" s="76" t="n">
        <v>-1851852</v>
      </c>
      <c r="D14" s="76" t="n">
        <v>0</v>
      </c>
      <c r="E14" s="76" t="n">
        <v>0</v>
      </c>
      <c r="F14" s="76" t="n">
        <v>0</v>
      </c>
      <c r="G14" s="74"/>
      <c r="H14" s="3"/>
    </row>
    <row r="15" customFormat="false" ht="19.5" hidden="false" customHeight="true" outlineLevel="0" collapsed="false">
      <c r="A15" s="75" t="s">
        <v>231</v>
      </c>
      <c r="B15" s="78" t="n">
        <v>0</v>
      </c>
      <c r="C15" s="78" t="n">
        <v>1065600</v>
      </c>
      <c r="D15" s="78" t="n">
        <v>2462400</v>
      </c>
      <c r="E15" s="78" t="n">
        <v>2462400</v>
      </c>
      <c r="F15" s="78" t="n">
        <v>2462400</v>
      </c>
      <c r="G15" s="74" t="n">
        <f aca="false">IFERROR(((F15/C15)^(1/3))-1,"")</f>
        <v>0.32207105456652</v>
      </c>
      <c r="H15" s="3"/>
    </row>
    <row r="16" customFormat="false" ht="19.5" hidden="false" customHeight="true" outlineLevel="0" collapsed="false">
      <c r="A16" s="75" t="s">
        <v>232</v>
      </c>
      <c r="B16" s="76" t="n">
        <v>0</v>
      </c>
      <c r="C16" s="78" t="n">
        <f aca="false">-C15*0.45</f>
        <v>-479520</v>
      </c>
      <c r="D16" s="78" t="n">
        <f aca="false">-D15*0.45</f>
        <v>-1108080</v>
      </c>
      <c r="E16" s="78" t="n">
        <f aca="false">-E15*0.45</f>
        <v>-1108080</v>
      </c>
      <c r="F16" s="78" t="n">
        <f aca="false">-F15*0.45</f>
        <v>-1108080</v>
      </c>
      <c r="G16" s="74"/>
      <c r="H16" s="3"/>
    </row>
    <row r="17" customFormat="false" ht="19.5" hidden="false" customHeight="true" outlineLevel="0" collapsed="false">
      <c r="A17" s="75" t="s">
        <v>233</v>
      </c>
      <c r="B17" s="79" t="n">
        <v>0</v>
      </c>
      <c r="C17" s="78" t="n">
        <f aca="false">C15*0.55</f>
        <v>586080</v>
      </c>
      <c r="D17" s="78" t="n">
        <f aca="false">D15*0.55</f>
        <v>1354320</v>
      </c>
      <c r="E17" s="78" t="n">
        <f aca="false">E15*0.55</f>
        <v>1354320</v>
      </c>
      <c r="F17" s="78" t="n">
        <f aca="false">F15*0.55</f>
        <v>1354320</v>
      </c>
      <c r="G17" s="74"/>
      <c r="H17" s="3"/>
    </row>
    <row r="18" customFormat="false" ht="19.5" hidden="false" customHeight="true" outlineLevel="0" collapsed="false">
      <c r="A18" s="72" t="s">
        <v>234</v>
      </c>
      <c r="B18" s="80" t="n">
        <v>0</v>
      </c>
      <c r="C18" s="77" t="n">
        <f aca="false">C17*0.7</f>
        <v>410256</v>
      </c>
      <c r="D18" s="77" t="n">
        <f aca="false">D17*0.7</f>
        <v>948024</v>
      </c>
      <c r="E18" s="77" t="n">
        <f aca="false">E17*0.7</f>
        <v>948024</v>
      </c>
      <c r="F18" s="77" t="n">
        <f aca="false">F17*0.7</f>
        <v>948024</v>
      </c>
      <c r="G18" s="74"/>
      <c r="H18" s="3"/>
    </row>
    <row r="19" customFormat="false" ht="19.5" hidden="false" customHeight="true" outlineLevel="0" collapsed="false">
      <c r="A19" s="75" t="s">
        <v>235</v>
      </c>
      <c r="B19" s="81" t="n">
        <v>0</v>
      </c>
      <c r="C19" s="78" t="n">
        <f aca="false">C17*0.3</f>
        <v>175824</v>
      </c>
      <c r="D19" s="78" t="n">
        <f aca="false">D17*0.3</f>
        <v>406296</v>
      </c>
      <c r="E19" s="78" t="n">
        <f aca="false">E17*0.3</f>
        <v>406296</v>
      </c>
      <c r="F19" s="78" t="n">
        <f aca="false">F17*0.3</f>
        <v>406296</v>
      </c>
      <c r="G19" s="74"/>
      <c r="H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9.5" hidden="false" customHeight="true" outlineLevel="0" collapsed="false">
      <c r="A21" s="71" t="s">
        <v>236</v>
      </c>
      <c r="B21" s="71"/>
      <c r="C21" s="71"/>
      <c r="D21" s="71"/>
      <c r="E21" s="71"/>
      <c r="F21" s="71"/>
      <c r="G21" s="71"/>
      <c r="H21" s="71"/>
    </row>
    <row r="22" customFormat="false" ht="19.5" hidden="false" customHeight="true" outlineLevel="0" collapsed="false">
      <c r="A22" s="75" t="s">
        <v>237</v>
      </c>
      <c r="B22" s="78" t="n">
        <v>5000</v>
      </c>
      <c r="C22" s="78" t="n">
        <v>50000</v>
      </c>
      <c r="D22" s="78" t="n">
        <v>200000</v>
      </c>
      <c r="E22" s="78" t="n">
        <v>500000</v>
      </c>
      <c r="F22" s="78" t="n">
        <v>1000000</v>
      </c>
      <c r="G22" s="74" t="n">
        <f aca="false">IFERROR(((F22/B22)^(1/4))-1,"")</f>
        <v>2.76060309308639</v>
      </c>
      <c r="H22" s="3"/>
    </row>
    <row r="23" customFormat="false" ht="19.5" hidden="false" customHeight="true" outlineLevel="0" collapsed="false">
      <c r="A23" s="75" t="s">
        <v>238</v>
      </c>
      <c r="B23" s="78" t="n">
        <v>0</v>
      </c>
      <c r="C23" s="78" t="n">
        <f aca="false">C17*0.3</f>
        <v>175824</v>
      </c>
      <c r="D23" s="78" t="n">
        <f aca="false">D17*0.3</f>
        <v>406296</v>
      </c>
      <c r="E23" s="78" t="n">
        <f aca="false">E17*0.3</f>
        <v>406296</v>
      </c>
      <c r="F23" s="78" t="n">
        <f aca="false">F17*0.3</f>
        <v>406296</v>
      </c>
      <c r="G23" s="74"/>
      <c r="H23" s="3"/>
    </row>
    <row r="24" customFormat="false" ht="19.5" hidden="false" customHeight="true" outlineLevel="0" collapsed="false">
      <c r="A24" s="75" t="s">
        <v>239</v>
      </c>
      <c r="B24" s="78" t="n">
        <v>0</v>
      </c>
      <c r="C24" s="78" t="n">
        <v>30000</v>
      </c>
      <c r="D24" s="78" t="n">
        <v>120000</v>
      </c>
      <c r="E24" s="78" t="n">
        <v>300000</v>
      </c>
      <c r="F24" s="78" t="n">
        <v>600000</v>
      </c>
      <c r="G24" s="74"/>
      <c r="H24" s="3"/>
    </row>
    <row r="25" customFormat="false" ht="19.5" hidden="false" customHeight="true" outlineLevel="0" collapsed="false">
      <c r="A25" s="72" t="s">
        <v>240</v>
      </c>
      <c r="B25" s="77" t="n">
        <f aca="false">B22+B23+B24</f>
        <v>5000</v>
      </c>
      <c r="C25" s="77" t="n">
        <f aca="false">C22+C23+C24</f>
        <v>255824</v>
      </c>
      <c r="D25" s="77" t="n">
        <f aca="false">D22+D23+D24</f>
        <v>726296</v>
      </c>
      <c r="E25" s="77" t="n">
        <f aca="false">E22+E23+E24</f>
        <v>1206296</v>
      </c>
      <c r="F25" s="77" t="n">
        <f aca="false">F22+F23+F24</f>
        <v>2006296</v>
      </c>
      <c r="G25" s="74" t="n">
        <f aca="false">IFERROR(((F25/B25)^(1/4))-1,"")</f>
        <v>3.47565137875583</v>
      </c>
      <c r="H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9.5" hidden="false" customHeight="true" outlineLevel="0" collapsed="false">
      <c r="A27" s="71" t="s">
        <v>241</v>
      </c>
      <c r="B27" s="71"/>
      <c r="C27" s="71"/>
      <c r="D27" s="71"/>
      <c r="E27" s="71"/>
      <c r="F27" s="71"/>
      <c r="G27" s="71"/>
      <c r="H27" s="71"/>
    </row>
    <row r="28" customFormat="false" ht="19.5" hidden="false" customHeight="true" outlineLevel="0" collapsed="false">
      <c r="A28" s="72" t="s">
        <v>242</v>
      </c>
      <c r="B28" s="80" t="n">
        <v>0</v>
      </c>
      <c r="C28" s="77" t="n">
        <f aca="false">C18</f>
        <v>410256</v>
      </c>
      <c r="D28" s="77" t="n">
        <f aca="false">D18</f>
        <v>948024</v>
      </c>
      <c r="E28" s="77" t="n">
        <f aca="false">E18</f>
        <v>948024</v>
      </c>
      <c r="F28" s="77" t="n">
        <f aca="false">F18</f>
        <v>948024</v>
      </c>
      <c r="G28" s="74"/>
      <c r="H28" s="3"/>
    </row>
    <row r="29" customFormat="false" ht="19.5" hidden="false" customHeight="true" outlineLevel="0" collapsed="false">
      <c r="A29" s="75" t="s">
        <v>243</v>
      </c>
      <c r="B29" s="82" t="s">
        <v>244</v>
      </c>
      <c r="C29" s="82" t="s">
        <v>245</v>
      </c>
      <c r="D29" s="82" t="s">
        <v>246</v>
      </c>
      <c r="E29" s="82" t="s">
        <v>247</v>
      </c>
      <c r="F29" s="82" t="s">
        <v>248</v>
      </c>
      <c r="G29" s="83"/>
      <c r="H29" s="3"/>
    </row>
    <row r="30" customFormat="false" ht="19.5" hidden="false" customHeight="true" outlineLevel="0" collapsed="false">
      <c r="A30" s="72" t="s">
        <v>249</v>
      </c>
      <c r="B30" s="77" t="n">
        <f aca="false">B25</f>
        <v>5000</v>
      </c>
      <c r="C30" s="77" t="n">
        <f aca="false">C25</f>
        <v>255824</v>
      </c>
      <c r="D30" s="77" t="n">
        <f aca="false">D25</f>
        <v>726296</v>
      </c>
      <c r="E30" s="77" t="n">
        <f aca="false">E25</f>
        <v>1206296</v>
      </c>
      <c r="F30" s="77" t="n">
        <f aca="false">F25</f>
        <v>2006296</v>
      </c>
      <c r="G30" s="74"/>
      <c r="H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</row>
  </sheetData>
  <mergeCells count="5">
    <mergeCell ref="A1:H1"/>
    <mergeCell ref="A4:H4"/>
    <mergeCell ref="A12:H12"/>
    <mergeCell ref="A21:H21"/>
    <mergeCell ref="A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7" min="2" style="1" width="18"/>
  </cols>
  <sheetData>
    <row r="1" customFormat="false" ht="30" hidden="false" customHeight="true" outlineLevel="0" collapsed="false">
      <c r="A1" s="70" t="s">
        <v>250</v>
      </c>
      <c r="B1" s="70"/>
      <c r="C1" s="70"/>
      <c r="D1" s="70"/>
      <c r="E1" s="70"/>
      <c r="F1" s="70"/>
      <c r="G1" s="70"/>
    </row>
    <row r="2" customFormat="false" ht="15" hidden="false" customHeight="true" outlineLevel="0" collapsed="false">
      <c r="A2" s="3"/>
      <c r="B2" s="3"/>
      <c r="C2" s="3"/>
      <c r="D2" s="3"/>
      <c r="E2" s="3"/>
      <c r="F2" s="3"/>
    </row>
    <row r="3" customFormat="false" ht="21.75" hidden="false" customHeight="true" outlineLevel="0" collapsed="false">
      <c r="A3" s="15" t="s">
        <v>251</v>
      </c>
      <c r="B3" s="16" t="s">
        <v>40</v>
      </c>
      <c r="C3" s="16" t="s">
        <v>41</v>
      </c>
      <c r="D3" s="16" t="s">
        <v>42</v>
      </c>
      <c r="E3" s="16" t="s">
        <v>252</v>
      </c>
      <c r="F3" s="16" t="s">
        <v>43</v>
      </c>
    </row>
    <row r="4" customFormat="false" ht="19.5" hidden="false" customHeight="true" outlineLevel="0" collapsed="false">
      <c r="A4" s="49" t="s">
        <v>253</v>
      </c>
      <c r="B4" s="84"/>
      <c r="C4" s="84"/>
      <c r="D4" s="84"/>
      <c r="E4" s="85"/>
      <c r="F4" s="51"/>
    </row>
    <row r="5" customFormat="false" ht="19.5" hidden="false" customHeight="true" outlineLevel="0" collapsed="false">
      <c r="A5" s="49" t="s">
        <v>254</v>
      </c>
      <c r="B5" s="86" t="n">
        <v>200000000000</v>
      </c>
      <c r="C5" s="86" t="n">
        <v>250000000000</v>
      </c>
      <c r="D5" s="86" t="n">
        <v>300000000000</v>
      </c>
      <c r="E5" s="85" t="s">
        <v>255</v>
      </c>
      <c r="F5" s="51" t="s">
        <v>256</v>
      </c>
    </row>
    <row r="6" customFormat="false" ht="19.5" hidden="false" customHeight="true" outlineLevel="0" collapsed="false">
      <c r="A6" s="49" t="s">
        <v>257</v>
      </c>
      <c r="B6" s="86" t="n">
        <v>25000000000</v>
      </c>
      <c r="C6" s="86" t="n">
        <v>30000000000</v>
      </c>
      <c r="D6" s="86" t="n">
        <v>40000000000</v>
      </c>
      <c r="E6" s="85" t="s">
        <v>255</v>
      </c>
      <c r="F6" s="51" t="s">
        <v>258</v>
      </c>
    </row>
    <row r="7" customFormat="false" ht="19.5" hidden="false" customHeight="true" outlineLevel="0" collapsed="false">
      <c r="A7" s="49" t="s">
        <v>259</v>
      </c>
      <c r="B7" s="86" t="n">
        <v>3000000000</v>
      </c>
      <c r="C7" s="86" t="n">
        <v>3000000000</v>
      </c>
      <c r="D7" s="86" t="n">
        <v>5000000000</v>
      </c>
      <c r="E7" s="85" t="s">
        <v>255</v>
      </c>
      <c r="F7" s="51" t="s">
        <v>260</v>
      </c>
    </row>
    <row r="8" customFormat="false" ht="19.5" hidden="false" customHeight="true" outlineLevel="0" collapsed="false">
      <c r="A8" s="87" t="s">
        <v>261</v>
      </c>
      <c r="B8" s="88" t="n">
        <f aca="false">B5+B6+B7</f>
        <v>228000000000</v>
      </c>
      <c r="C8" s="88" t="n">
        <f aca="false">C5+C6+C7</f>
        <v>283000000000</v>
      </c>
      <c r="D8" s="88" t="n">
        <f aca="false">D5+D6+D7</f>
        <v>345000000000</v>
      </c>
      <c r="E8" s="89" t="s">
        <v>255</v>
      </c>
      <c r="F8" s="90" t="s">
        <v>262</v>
      </c>
    </row>
    <row r="9" customFormat="false" ht="19.5" hidden="false" customHeight="true" outlineLevel="0" collapsed="false">
      <c r="A9" s="87" t="s">
        <v>263</v>
      </c>
      <c r="B9" s="91" t="n">
        <f aca="false">B8/16200</f>
        <v>14074074.0740741</v>
      </c>
      <c r="C9" s="91" t="n">
        <f aca="false">C8/16200</f>
        <v>17469135.8024691</v>
      </c>
      <c r="D9" s="91" t="n">
        <f aca="false">D8/16200</f>
        <v>21296296.2962963</v>
      </c>
      <c r="E9" s="89" t="s">
        <v>264</v>
      </c>
      <c r="F9" s="90" t="s">
        <v>265</v>
      </c>
    </row>
    <row r="10" customFormat="false" ht="19.5" hidden="false" customHeight="true" outlineLevel="0" collapsed="false">
      <c r="A10" s="49" t="s">
        <v>266</v>
      </c>
      <c r="B10" s="84"/>
      <c r="C10" s="84"/>
      <c r="D10" s="84"/>
      <c r="E10" s="85"/>
      <c r="F10" s="51"/>
    </row>
    <row r="11" customFormat="false" ht="19.5" hidden="false" customHeight="true" outlineLevel="0" collapsed="false">
      <c r="A11" s="49" t="s">
        <v>267</v>
      </c>
      <c r="B11" s="50" t="n">
        <v>80</v>
      </c>
      <c r="C11" s="50" t="n">
        <v>100</v>
      </c>
      <c r="D11" s="50" t="n">
        <v>120</v>
      </c>
      <c r="E11" s="85" t="s">
        <v>268</v>
      </c>
      <c r="F11" s="51"/>
    </row>
    <row r="12" customFormat="false" ht="19.5" hidden="false" customHeight="true" outlineLevel="0" collapsed="false">
      <c r="A12" s="49" t="s">
        <v>269</v>
      </c>
      <c r="B12" s="55" t="n">
        <v>80</v>
      </c>
      <c r="C12" s="55" t="n">
        <v>90</v>
      </c>
      <c r="D12" s="55" t="n">
        <v>100</v>
      </c>
      <c r="E12" s="85" t="s">
        <v>270</v>
      </c>
      <c r="F12" s="51" t="s">
        <v>271</v>
      </c>
    </row>
    <row r="13" customFormat="false" ht="19.5" hidden="false" customHeight="true" outlineLevel="0" collapsed="false">
      <c r="A13" s="49" t="s">
        <v>272</v>
      </c>
      <c r="B13" s="92" t="n">
        <v>0.65</v>
      </c>
      <c r="C13" s="92" t="n">
        <v>0.72</v>
      </c>
      <c r="D13" s="92" t="n">
        <v>0.8</v>
      </c>
      <c r="E13" s="85" t="s">
        <v>273</v>
      </c>
      <c r="F13" s="51" t="s">
        <v>274</v>
      </c>
    </row>
    <row r="14" customFormat="false" ht="19.5" hidden="false" customHeight="true" outlineLevel="0" collapsed="false">
      <c r="A14" s="49" t="s">
        <v>275</v>
      </c>
      <c r="B14" s="60" t="n">
        <f aca="false">B12*B13</f>
        <v>52</v>
      </c>
      <c r="C14" s="60" t="n">
        <f aca="false">C12*C13</f>
        <v>64.8</v>
      </c>
      <c r="D14" s="60" t="n">
        <f aca="false">D12*D13</f>
        <v>80</v>
      </c>
      <c r="E14" s="85" t="s">
        <v>264</v>
      </c>
      <c r="F14" s="51" t="s">
        <v>57</v>
      </c>
    </row>
    <row r="15" customFormat="false" ht="19.5" hidden="false" customHeight="true" outlineLevel="0" collapsed="false">
      <c r="A15" s="49" t="s">
        <v>276</v>
      </c>
      <c r="B15" s="60" t="n">
        <f aca="false">B14*B11*365</f>
        <v>1518400</v>
      </c>
      <c r="C15" s="60" t="n">
        <f aca="false">C14*C11*365</f>
        <v>2365200</v>
      </c>
      <c r="D15" s="60" t="n">
        <f aca="false">D14*D11*365</f>
        <v>3504000</v>
      </c>
      <c r="E15" s="85" t="s">
        <v>264</v>
      </c>
      <c r="F15" s="51" t="s">
        <v>277</v>
      </c>
    </row>
    <row r="16" customFormat="false" ht="19.5" hidden="false" customHeight="true" outlineLevel="0" collapsed="false">
      <c r="A16" s="49" t="s">
        <v>278</v>
      </c>
      <c r="B16" s="61" t="n">
        <f aca="false">B15*16200</f>
        <v>24598080000</v>
      </c>
      <c r="C16" s="61" t="n">
        <f aca="false">C15*16200</f>
        <v>38316240000</v>
      </c>
      <c r="D16" s="61" t="n">
        <f aca="false">D15*16200</f>
        <v>56764800000</v>
      </c>
      <c r="E16" s="85" t="s">
        <v>255</v>
      </c>
      <c r="F16" s="51"/>
    </row>
    <row r="17" customFormat="false" ht="19.5" hidden="false" customHeight="true" outlineLevel="0" collapsed="false">
      <c r="A17" s="49" t="s">
        <v>279</v>
      </c>
      <c r="B17" s="92" t="n">
        <v>0.5</v>
      </c>
      <c r="C17" s="92" t="n">
        <v>0.55</v>
      </c>
      <c r="D17" s="92" t="n">
        <v>0.6</v>
      </c>
      <c r="E17" s="85" t="s">
        <v>273</v>
      </c>
      <c r="F17" s="51" t="s">
        <v>280</v>
      </c>
    </row>
    <row r="18" customFormat="false" ht="19.5" hidden="false" customHeight="true" outlineLevel="0" collapsed="false">
      <c r="A18" s="49" t="s">
        <v>281</v>
      </c>
      <c r="B18" s="60" t="n">
        <f aca="false">B15*B17</f>
        <v>759200</v>
      </c>
      <c r="C18" s="60" t="n">
        <f aca="false">C15*C17</f>
        <v>1300860</v>
      </c>
      <c r="D18" s="60" t="n">
        <f aca="false">D15*D17</f>
        <v>2102400</v>
      </c>
      <c r="E18" s="85" t="s">
        <v>264</v>
      </c>
      <c r="F18" s="51" t="s">
        <v>182</v>
      </c>
    </row>
    <row r="19" customFormat="false" ht="19.5" hidden="false" customHeight="true" outlineLevel="0" collapsed="false">
      <c r="A19" s="49" t="s">
        <v>282</v>
      </c>
      <c r="B19" s="61" t="n">
        <f aca="false">B18*16200</f>
        <v>12299040000</v>
      </c>
      <c r="C19" s="61" t="n">
        <f aca="false">C18*16200</f>
        <v>21073932000</v>
      </c>
      <c r="D19" s="61" t="n">
        <f aca="false">D18*16200</f>
        <v>34058880000</v>
      </c>
      <c r="E19" s="85" t="s">
        <v>255</v>
      </c>
      <c r="F19" s="51"/>
    </row>
    <row r="20" customFormat="false" ht="19.5" hidden="false" customHeight="true" outlineLevel="0" collapsed="false">
      <c r="A20" s="49" t="s">
        <v>283</v>
      </c>
      <c r="B20" s="84"/>
      <c r="C20" s="84"/>
      <c r="D20" s="84"/>
      <c r="E20" s="85"/>
      <c r="F20" s="51"/>
    </row>
    <row r="21" customFormat="false" ht="19.5" hidden="false" customHeight="true" outlineLevel="0" collapsed="false">
      <c r="A21" s="49" t="s">
        <v>284</v>
      </c>
      <c r="B21" s="60" t="n">
        <f aca="false">B18*0.7</f>
        <v>531440</v>
      </c>
      <c r="C21" s="60" t="n">
        <f aca="false">C18*0.7</f>
        <v>910602</v>
      </c>
      <c r="D21" s="60" t="n">
        <f aca="false">D18*0.7</f>
        <v>1471680</v>
      </c>
      <c r="E21" s="85" t="s">
        <v>264</v>
      </c>
      <c r="F21" s="51"/>
    </row>
    <row r="22" customFormat="false" ht="19.5" hidden="false" customHeight="true" outlineLevel="0" collapsed="false">
      <c r="A22" s="49" t="s">
        <v>285</v>
      </c>
      <c r="B22" s="60" t="n">
        <f aca="false">B18*0.3</f>
        <v>227760</v>
      </c>
      <c r="C22" s="60" t="n">
        <f aca="false">C18*0.3</f>
        <v>390258</v>
      </c>
      <c r="D22" s="60" t="n">
        <f aca="false">D18*0.3</f>
        <v>630720</v>
      </c>
      <c r="E22" s="85" t="s">
        <v>264</v>
      </c>
      <c r="F22" s="51" t="s">
        <v>286</v>
      </c>
    </row>
    <row r="23" customFormat="false" ht="19.5" hidden="false" customHeight="true" outlineLevel="0" collapsed="false">
      <c r="A23" s="49" t="s">
        <v>287</v>
      </c>
      <c r="B23" s="93" t="n">
        <v>10</v>
      </c>
      <c r="C23" s="93" t="n">
        <v>10</v>
      </c>
      <c r="D23" s="93" t="n">
        <v>10</v>
      </c>
      <c r="E23" s="85" t="s">
        <v>264</v>
      </c>
      <c r="F23" s="51" t="s">
        <v>288</v>
      </c>
    </row>
    <row r="24" customFormat="false" ht="19.5" hidden="false" customHeight="true" outlineLevel="0" collapsed="false">
      <c r="A24" s="87" t="s">
        <v>70</v>
      </c>
      <c r="B24" s="94" t="n">
        <f aca="false">ROUND(B9/B23,0)</f>
        <v>1407407</v>
      </c>
      <c r="C24" s="94" t="n">
        <f aca="false">ROUND(C9/C23,0)</f>
        <v>1746914</v>
      </c>
      <c r="D24" s="94" t="n">
        <f aca="false">ROUND(D9/D23,0)</f>
        <v>2129630</v>
      </c>
      <c r="E24" s="89" t="s">
        <v>289</v>
      </c>
      <c r="F24" s="90" t="s">
        <v>290</v>
      </c>
    </row>
    <row r="25" customFormat="false" ht="19.5" hidden="false" customHeight="true" outlineLevel="0" collapsed="false">
      <c r="A25" s="87" t="s">
        <v>291</v>
      </c>
      <c r="B25" s="95" t="n">
        <f aca="false">IFERROR(B21/B24,0)</f>
        <v>0.377602214569062</v>
      </c>
      <c r="C25" s="95" t="n">
        <f aca="false">IFERROR(C21/C24,0)</f>
        <v>0.521263210438522</v>
      </c>
      <c r="D25" s="95" t="n">
        <f aca="false">IFERROR(D21/D24,0)</f>
        <v>0.691049618947892</v>
      </c>
      <c r="E25" s="89" t="s">
        <v>292</v>
      </c>
      <c r="F25" s="90" t="s">
        <v>293</v>
      </c>
    </row>
    <row r="26" customFormat="false" ht="19.5" hidden="false" customHeight="true" outlineLevel="0" collapsed="false">
      <c r="A26" s="87" t="s">
        <v>294</v>
      </c>
      <c r="B26" s="96" t="n">
        <f aca="false">B25*16200</f>
        <v>6117.15587601881</v>
      </c>
      <c r="C26" s="96" t="n">
        <f aca="false">C25*16200</f>
        <v>8444.46400910406</v>
      </c>
      <c r="D26" s="96" t="n">
        <f aca="false">D25*16200</f>
        <v>11195.0038269559</v>
      </c>
      <c r="E26" s="89" t="s">
        <v>295</v>
      </c>
      <c r="F26" s="90"/>
    </row>
    <row r="27" customFormat="false" ht="19.5" hidden="false" customHeight="true" outlineLevel="0" collapsed="false">
      <c r="A27" s="87" t="s">
        <v>296</v>
      </c>
      <c r="B27" s="97" t="n">
        <f aca="false">IFERROR(B25/B23,0)</f>
        <v>0.0377602214569062</v>
      </c>
      <c r="C27" s="97" t="n">
        <f aca="false">IFERROR(C25/C23,0)</f>
        <v>0.0521263210438522</v>
      </c>
      <c r="D27" s="97" t="n">
        <f aca="false">IFERROR(D25/D23,0)</f>
        <v>0.0691049618947892</v>
      </c>
      <c r="E27" s="89" t="s">
        <v>273</v>
      </c>
      <c r="F27" s="90" t="s">
        <v>297</v>
      </c>
    </row>
    <row r="28" customFormat="false" ht="19.5" hidden="false" customHeight="true" outlineLevel="0" collapsed="false">
      <c r="A28" s="49" t="s">
        <v>298</v>
      </c>
      <c r="B28" s="84"/>
      <c r="C28" s="84"/>
      <c r="D28" s="84"/>
      <c r="E28" s="85"/>
      <c r="F28" s="51"/>
    </row>
    <row r="29" customFormat="false" ht="19.5" hidden="false" customHeight="true" outlineLevel="0" collapsed="false">
      <c r="A29" s="49" t="s">
        <v>299</v>
      </c>
      <c r="B29" s="60" t="n">
        <f aca="false">B25*5</f>
        <v>1.88801107284531</v>
      </c>
      <c r="C29" s="60" t="n">
        <f aca="false">C25*5</f>
        <v>2.60631605219261</v>
      </c>
      <c r="D29" s="60" t="n">
        <f aca="false">D25*5</f>
        <v>3.45524809473946</v>
      </c>
      <c r="E29" s="85" t="s">
        <v>264</v>
      </c>
      <c r="F29" s="51" t="s">
        <v>300</v>
      </c>
    </row>
    <row r="30" customFormat="false" ht="19.5" hidden="false" customHeight="true" outlineLevel="0" collapsed="false">
      <c r="A30" s="49" t="s">
        <v>301</v>
      </c>
      <c r="B30" s="98" t="n">
        <f aca="false">IFERROR(B23/B21*B24,0)</f>
        <v>26.4828955291284</v>
      </c>
      <c r="C30" s="98" t="n">
        <f aca="false">IFERROR(C23/C21*C24,0)</f>
        <v>19.1841660791432</v>
      </c>
      <c r="D30" s="98" t="n">
        <f aca="false">IFERROR(D23/D21*D24,0)</f>
        <v>14.4707409219396</v>
      </c>
      <c r="E30" s="85" t="s">
        <v>302</v>
      </c>
      <c r="F30" s="51" t="s">
        <v>303</v>
      </c>
    </row>
    <row r="31" customFormat="false" ht="19.5" hidden="false" customHeight="true" outlineLevel="0" collapsed="false">
      <c r="A31" s="49" t="s">
        <v>304</v>
      </c>
      <c r="B31" s="99" t="n">
        <f aca="false">IFERROR(B18/B9,0)</f>
        <v>0.0539431578947368</v>
      </c>
      <c r="C31" s="99" t="n">
        <f aca="false">IFERROR(C18/C9,0)</f>
        <v>0.0744661908127209</v>
      </c>
      <c r="D31" s="99" t="n">
        <f aca="false">IFERROR(D18/D9,0)</f>
        <v>0.0987213913043478</v>
      </c>
      <c r="E31" s="85" t="s">
        <v>273</v>
      </c>
      <c r="F31" s="51" t="s">
        <v>305</v>
      </c>
    </row>
    <row r="32" customFormat="false" ht="19.5" hidden="false" customHeight="true" outlineLevel="0" collapsed="false">
      <c r="A32" s="49" t="s">
        <v>306</v>
      </c>
      <c r="B32" s="100" t="n">
        <f aca="false">IFERROR(B9/B15,0)</f>
        <v>9.26901611833119</v>
      </c>
      <c r="C32" s="100" t="n">
        <f aca="false">IFERROR(C9/C15,0)</f>
        <v>7.38590216576574</v>
      </c>
      <c r="D32" s="100" t="n">
        <f aca="false">IFERROR(D9/D15,0)</f>
        <v>6.07771013022155</v>
      </c>
      <c r="E32" s="85" t="s">
        <v>307</v>
      </c>
      <c r="F32" s="51" t="s">
        <v>308</v>
      </c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2026-04-26T07:05:49Z</dcterms:created>
  <dc:creator>openpyxl</dc:creator>
  <dc:description/>
  <dc:language>en-US</dc:language>
  <cp:lastModifiedBy/>
  <dcterms:modified xsi:type="dcterms:W3CDTF">2026-04-26T07:06:11Z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